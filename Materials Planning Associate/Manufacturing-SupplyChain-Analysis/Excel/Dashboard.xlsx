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a1f0e2689e29f14d/Desktop/GITHUB_Resume_Projects/emp. magnet/Materials Planning Associate/Manufacturing-SupplyChain-Analysis/Excel/"/>
    </mc:Choice>
  </mc:AlternateContent>
  <xr:revisionPtr revIDLastSave="36" documentId="8_{C7702E6F-D031-412F-9882-AC10CF5E9104}" xr6:coauthVersionLast="47" xr6:coauthVersionMax="47" xr10:uidLastSave="{055F6518-9B2B-427F-A025-AC4D4BF7E0A5}"/>
  <bookViews>
    <workbookView xWindow="-108" yWindow="-108" windowWidth="23256" windowHeight="13896" tabRatio="652" xr2:uid="{5FFCED93-9410-482B-8A2A-B7876313E631}"/>
  </bookViews>
  <sheets>
    <sheet name="📊 Dashboard" sheetId="9" r:id="rId1"/>
    <sheet name="🏭 Supplier Detail" sheetId="10" r:id="rId2"/>
    <sheet name="Charts" sheetId="11" r:id="rId3"/>
    <sheet name="Analytics" sheetId="12" r:id="rId4"/>
    <sheet name="KPIs" sheetId="1" r:id="rId5"/>
    <sheet name="clean_shipments" sheetId="5" r:id="rId6"/>
    <sheet name="Merge1" sheetId="8" r:id="rId7"/>
    <sheet name="PurchaseOrders" sheetId="7" r:id="rId8"/>
    <sheet name="clean_suppliers" sheetId="6" r:id="rId9"/>
    <sheet name="clean_purchase_orders" sheetId="4" r:id="rId10"/>
    <sheet name="clean_invoices" sheetId="3" r:id="rId11"/>
    <sheet name="clean_inventory" sheetId="2" r:id="rId12"/>
  </sheets>
  <externalReferences>
    <externalReference r:id="rId13"/>
  </externalReferences>
  <definedNames>
    <definedName name="_xlnm._FilterDatabase" localSheetId="1" hidden="1">'🏭 Supplier Detail'!$B$4:$H$55</definedName>
    <definedName name="ExternalData_1" localSheetId="11" hidden="1">'clean_inventory'!$A$1:$G$201</definedName>
    <definedName name="ExternalData_2" localSheetId="10" hidden="1">'clean_invoices'!$A$1:$J$201</definedName>
    <definedName name="ExternalData_3" localSheetId="9" hidden="1">'clean_purchase_orders'!$A$1:$I$201</definedName>
    <definedName name="ExternalData_4" localSheetId="5" hidden="1">'clean_shipments'!$A$1:$F$201</definedName>
    <definedName name="ExternalData_4" localSheetId="7" hidden="1">PurchaseOrders!$A$1:$I$201</definedName>
    <definedName name="ExternalData_5" localSheetId="8" hidden="1">clean_suppliers!$A$1:$F$51</definedName>
    <definedName name="ExternalData_5" localSheetId="6" hidden="1">Merge1!$A$1:$J$201</definedName>
    <definedName name="Slicer_Material">#N/A</definedName>
    <definedName name="Slicer_Months__Order_Date">#N/A</definedName>
    <definedName name="Slicer_Status">#N/A</definedName>
    <definedName name="Slicer_Supplier_ID">#N/A</definedName>
    <definedName name="Slicer_Warehouse">#N/A</definedName>
  </definedNames>
  <calcPr calcId="191029"/>
  <pivotCaches>
    <pivotCache cacheId="20" r:id="rId14"/>
    <pivotCache cacheId="7" r:id="rId15"/>
    <pivotCache cacheId="14" r:id="rId16"/>
    <pivotCache cacheId="18" r:id="rId17"/>
  </pivotCaches>
  <extLs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6" i="1" l="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35" i="1"/>
  <c r="H35" i="1" a="1"/>
  <c r="H35" i="1" s="1"/>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B12" i="1"/>
  <c r="B10" i="1"/>
  <c r="B8" i="1"/>
  <c r="B6" i="1"/>
  <c r="B4" i="1"/>
  <c r="B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A9075E-1138-4CD5-94B2-C624287A5167}" keepAlive="1" name="Query - clean_inventory" description="Connection to the 'clean_inventory' query in the workbook." type="5" refreshedVersion="8" background="1" saveData="1">
    <dbPr connection="Provider=Microsoft.Mashup.OleDb.1;Data Source=$Workbook$;Location=clean_inventory;Extended Properties=&quot;&quot;" command="SELECT * FROM [clean_inventory]"/>
  </connection>
  <connection id="2" xr16:uid="{F1546030-7CE9-4FD8-B7E4-EF1E597E8C6E}" keepAlive="1" name="Query - clean_invoices" description="Connection to the 'clean_invoices' query in the workbook." type="5" refreshedVersion="8" background="1" saveData="1">
    <dbPr connection="Provider=Microsoft.Mashup.OleDb.1;Data Source=$Workbook$;Location=clean_invoices;Extended Properties=&quot;&quot;" command="SELECT * FROM [clean_invoices]"/>
  </connection>
  <connection id="3" xr16:uid="{701A0CC3-1852-45A6-8E45-B7E78F9EE2EA}" keepAlive="1" name="Query - clean_purchase_orders" description="Connection to the 'clean_purchase_orders' query in the workbook." type="5" refreshedVersion="8" background="1" saveData="1">
    <dbPr connection="Provider=Microsoft.Mashup.OleDb.1;Data Source=$Workbook$;Location=clean_purchase_orders;Extended Properties=&quot;&quot;" command="SELECT * FROM [clean_purchase_orders]"/>
  </connection>
  <connection id="4" xr16:uid="{2F33548D-EE8C-453B-92D3-96907DCACB64}" keepAlive="1" name="Query - clean_shipments" description="Connection to the 'clean_shipments' query in the workbook." type="5" refreshedVersion="8" background="1" saveData="1">
    <dbPr connection="Provider=Microsoft.Mashup.OleDb.1;Data Source=$Workbook$;Location=clean_shipments;Extended Properties=&quot;&quot;" command="SELECT * FROM [clean_shipments]"/>
  </connection>
  <connection id="5" xr16:uid="{053A6636-6168-449F-9837-BCAC213A633D}"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6" xr16:uid="{3766D5AF-2BBE-4063-9F14-F39E21D24FCB}" keepAlive="1" name="Query - PurchaseOrders" description="Connection to the 'PurchaseOrders' query in the workbook." type="5" refreshedVersion="8" background="1" saveData="1">
    <dbPr connection="Provider=Microsoft.Mashup.OleDb.1;Data Source=$Workbook$;Location=PurchaseOrders;Extended Properties=&quot;&quot;" command="SELECT * FROM [PurchaseOrders]"/>
  </connection>
  <connection id="7" xr16:uid="{5E4DF372-106A-42FA-B812-55DE6E01C4A6}"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<sst xmlns="http://schemas.openxmlformats.org/spreadsheetml/2006/main" count="5434" uniqueCount="1169">
  <si>
    <t>Item_ID</t>
  </si>
  <si>
    <t>Material</t>
  </si>
  <si>
    <t>Warehouse</t>
  </si>
  <si>
    <t>Stock</t>
  </si>
  <si>
    <t>Reorder_Level</t>
  </si>
  <si>
    <t>Inventory_Value</t>
  </si>
  <si>
    <t>Low_Stock</t>
  </si>
  <si>
    <t>ITM0001</t>
  </si>
  <si>
    <t>Rubber Seal</t>
  </si>
  <si>
    <t>Phoenix</t>
  </si>
  <si>
    <t>ITM0002</t>
  </si>
  <si>
    <t>Sensor</t>
  </si>
  <si>
    <t>Atlanta</t>
  </si>
  <si>
    <t>ITM0003</t>
  </si>
  <si>
    <t>Transformer</t>
  </si>
  <si>
    <t>ITM0004</t>
  </si>
  <si>
    <t>Steel Rod</t>
  </si>
  <si>
    <t>Chicago</t>
  </si>
  <si>
    <t>ITM0005</t>
  </si>
  <si>
    <t>Circuit Board</t>
  </si>
  <si>
    <t>ITM0006</t>
  </si>
  <si>
    <t>ITM0007</t>
  </si>
  <si>
    <t>New York</t>
  </si>
  <si>
    <t>ITM0008</t>
  </si>
  <si>
    <t>Copper Wire</t>
  </si>
  <si>
    <t>ITM0009</t>
  </si>
  <si>
    <t>Dallas</t>
  </si>
  <si>
    <t>ITM0010</t>
  </si>
  <si>
    <t>Bearing</t>
  </si>
  <si>
    <t>ITM0011</t>
  </si>
  <si>
    <t>Plastic Sheet</t>
  </si>
  <si>
    <t>ITM0012</t>
  </si>
  <si>
    <t>ITM0013</t>
  </si>
  <si>
    <t>Aluminum Plate</t>
  </si>
  <si>
    <t>ITM0014</t>
  </si>
  <si>
    <t>ITM0015</t>
  </si>
  <si>
    <t>ITM0016</t>
  </si>
  <si>
    <t>ITM0017</t>
  </si>
  <si>
    <t>ITM0018</t>
  </si>
  <si>
    <t>ITM0019</t>
  </si>
  <si>
    <t>ITM0020</t>
  </si>
  <si>
    <t>ITM0021</t>
  </si>
  <si>
    <t>ITM0022</t>
  </si>
  <si>
    <t>ITM0023</t>
  </si>
  <si>
    <t>ITM0024</t>
  </si>
  <si>
    <t>ITM0025</t>
  </si>
  <si>
    <t>Motor</t>
  </si>
  <si>
    <t>ITM0026</t>
  </si>
  <si>
    <t>ITM0027</t>
  </si>
  <si>
    <t>ITM0028</t>
  </si>
  <si>
    <t>ITM0029</t>
  </si>
  <si>
    <t>ITM0030</t>
  </si>
  <si>
    <t>ITM0031</t>
  </si>
  <si>
    <t>ITM0032</t>
  </si>
  <si>
    <t>ITM0033</t>
  </si>
  <si>
    <t>ITM0034</t>
  </si>
  <si>
    <t>ITM0035</t>
  </si>
  <si>
    <t>ITM0036</t>
  </si>
  <si>
    <t>ITM0037</t>
  </si>
  <si>
    <t>ITM0038</t>
  </si>
  <si>
    <t>ITM0039</t>
  </si>
  <si>
    <t>ITM0040</t>
  </si>
  <si>
    <t>ITM0041</t>
  </si>
  <si>
    <t>ITM0042</t>
  </si>
  <si>
    <t>ITM0043</t>
  </si>
  <si>
    <t>ITM0044</t>
  </si>
  <si>
    <t>ITM0045</t>
  </si>
  <si>
    <t>ITM0046</t>
  </si>
  <si>
    <t>ITM0047</t>
  </si>
  <si>
    <t>ITM0048</t>
  </si>
  <si>
    <t>ITM0049</t>
  </si>
  <si>
    <t>ITM0050</t>
  </si>
  <si>
    <t>ITM0051</t>
  </si>
  <si>
    <t>ITM0052</t>
  </si>
  <si>
    <t>ITM0053</t>
  </si>
  <si>
    <t>ITM0054</t>
  </si>
  <si>
    <t>ITM0055</t>
  </si>
  <si>
    <t>ITM0056</t>
  </si>
  <si>
    <t>ITM0057</t>
  </si>
  <si>
    <t>ITM0058</t>
  </si>
  <si>
    <t>ITM0059</t>
  </si>
  <si>
    <t>ITM0060</t>
  </si>
  <si>
    <t>ITM0061</t>
  </si>
  <si>
    <t>ITM0062</t>
  </si>
  <si>
    <t>ITM0063</t>
  </si>
  <si>
    <t>ITM0064</t>
  </si>
  <si>
    <t>ITM0065</t>
  </si>
  <si>
    <t>ITM0066</t>
  </si>
  <si>
    <t>ITM0067</t>
  </si>
  <si>
    <t>ITM0068</t>
  </si>
  <si>
    <t>ITM0069</t>
  </si>
  <si>
    <t>ITM0070</t>
  </si>
  <si>
    <t>ITM0071</t>
  </si>
  <si>
    <t>ITM0072</t>
  </si>
  <si>
    <t>ITM0073</t>
  </si>
  <si>
    <t>ITM0074</t>
  </si>
  <si>
    <t>ITM0075</t>
  </si>
  <si>
    <t>ITM0076</t>
  </si>
  <si>
    <t>ITM0077</t>
  </si>
  <si>
    <t>ITM0078</t>
  </si>
  <si>
    <t>ITM0079</t>
  </si>
  <si>
    <t>ITM0080</t>
  </si>
  <si>
    <t>ITM0081</t>
  </si>
  <si>
    <t>ITM0082</t>
  </si>
  <si>
    <t>ITM0083</t>
  </si>
  <si>
    <t>ITM0084</t>
  </si>
  <si>
    <t>ITM0085</t>
  </si>
  <si>
    <t>ITM0086</t>
  </si>
  <si>
    <t>ITM0087</t>
  </si>
  <si>
    <t>ITM0088</t>
  </si>
  <si>
    <t>ITM0089</t>
  </si>
  <si>
    <t>ITM0090</t>
  </si>
  <si>
    <t>ITM0091</t>
  </si>
  <si>
    <t>ITM0092</t>
  </si>
  <si>
    <t>ITM0093</t>
  </si>
  <si>
    <t>ITM0094</t>
  </si>
  <si>
    <t>ITM0095</t>
  </si>
  <si>
    <t>ITM0096</t>
  </si>
  <si>
    <t>ITM0097</t>
  </si>
  <si>
    <t>ITM0098</t>
  </si>
  <si>
    <t>ITM0099</t>
  </si>
  <si>
    <t>ITM0100</t>
  </si>
  <si>
    <t>ITM0101</t>
  </si>
  <si>
    <t>ITM0102</t>
  </si>
  <si>
    <t>ITM0103</t>
  </si>
  <si>
    <t>ITM0104</t>
  </si>
  <si>
    <t>ITM0105</t>
  </si>
  <si>
    <t>ITM0106</t>
  </si>
  <si>
    <t>ITM0107</t>
  </si>
  <si>
    <t>ITM0108</t>
  </si>
  <si>
    <t>ITM0109</t>
  </si>
  <si>
    <t>ITM0110</t>
  </si>
  <si>
    <t>ITM0111</t>
  </si>
  <si>
    <t>ITM0112</t>
  </si>
  <si>
    <t>ITM0113</t>
  </si>
  <si>
    <t>ITM0114</t>
  </si>
  <si>
    <t>ITM0115</t>
  </si>
  <si>
    <t>ITM0116</t>
  </si>
  <si>
    <t>ITM0117</t>
  </si>
  <si>
    <t>ITM0118</t>
  </si>
  <si>
    <t>ITM0119</t>
  </si>
  <si>
    <t>ITM0120</t>
  </si>
  <si>
    <t>ITM0121</t>
  </si>
  <si>
    <t>ITM0122</t>
  </si>
  <si>
    <t>ITM0123</t>
  </si>
  <si>
    <t>ITM0124</t>
  </si>
  <si>
    <t>ITM0125</t>
  </si>
  <si>
    <t>ITM0126</t>
  </si>
  <si>
    <t>ITM0127</t>
  </si>
  <si>
    <t>ITM0128</t>
  </si>
  <si>
    <t>ITM0129</t>
  </si>
  <si>
    <t>ITM0130</t>
  </si>
  <si>
    <t>ITM0131</t>
  </si>
  <si>
    <t>ITM0132</t>
  </si>
  <si>
    <t>ITM0133</t>
  </si>
  <si>
    <t>ITM0134</t>
  </si>
  <si>
    <t>ITM0135</t>
  </si>
  <si>
    <t>ITM0136</t>
  </si>
  <si>
    <t>ITM0137</t>
  </si>
  <si>
    <t>ITM0138</t>
  </si>
  <si>
    <t>ITM0139</t>
  </si>
  <si>
    <t>ITM0140</t>
  </si>
  <si>
    <t>ITM0141</t>
  </si>
  <si>
    <t>ITM0142</t>
  </si>
  <si>
    <t>ITM0143</t>
  </si>
  <si>
    <t>ITM0144</t>
  </si>
  <si>
    <t>ITM0145</t>
  </si>
  <si>
    <t>ITM0146</t>
  </si>
  <si>
    <t>ITM0147</t>
  </si>
  <si>
    <t>ITM0148</t>
  </si>
  <si>
    <t>ITM0149</t>
  </si>
  <si>
    <t>ITM0150</t>
  </si>
  <si>
    <t>ITM0151</t>
  </si>
  <si>
    <t>ITM0152</t>
  </si>
  <si>
    <t>ITM0153</t>
  </si>
  <si>
    <t>ITM0154</t>
  </si>
  <si>
    <t>ITM0155</t>
  </si>
  <si>
    <t>ITM0156</t>
  </si>
  <si>
    <t>ITM0157</t>
  </si>
  <si>
    <t>ITM0158</t>
  </si>
  <si>
    <t>ITM0159</t>
  </si>
  <si>
    <t>ITM0160</t>
  </si>
  <si>
    <t>ITM0161</t>
  </si>
  <si>
    <t>ITM0162</t>
  </si>
  <si>
    <t>ITM0163</t>
  </si>
  <si>
    <t>ITM0164</t>
  </si>
  <si>
    <t>ITM0165</t>
  </si>
  <si>
    <t>ITM0166</t>
  </si>
  <si>
    <t>ITM0167</t>
  </si>
  <si>
    <t>ITM0168</t>
  </si>
  <si>
    <t>ITM0169</t>
  </si>
  <si>
    <t>ITM0170</t>
  </si>
  <si>
    <t>ITM0171</t>
  </si>
  <si>
    <t>ITM0172</t>
  </si>
  <si>
    <t>ITM0173</t>
  </si>
  <si>
    <t>ITM0174</t>
  </si>
  <si>
    <t>ITM0175</t>
  </si>
  <si>
    <t>ITM0176</t>
  </si>
  <si>
    <t>ITM0177</t>
  </si>
  <si>
    <t>ITM0178</t>
  </si>
  <si>
    <t>ITM0179</t>
  </si>
  <si>
    <t>ITM0180</t>
  </si>
  <si>
    <t>ITM0181</t>
  </si>
  <si>
    <t>ITM0182</t>
  </si>
  <si>
    <t>ITM0183</t>
  </si>
  <si>
    <t>ITM0184</t>
  </si>
  <si>
    <t>ITM0185</t>
  </si>
  <si>
    <t>ITM0186</t>
  </si>
  <si>
    <t>ITM0187</t>
  </si>
  <si>
    <t>ITM0188</t>
  </si>
  <si>
    <t>ITM0189</t>
  </si>
  <si>
    <t>ITM0190</t>
  </si>
  <si>
    <t>ITM0191</t>
  </si>
  <si>
    <t>ITM0192</t>
  </si>
  <si>
    <t>ITM0193</t>
  </si>
  <si>
    <t>ITM0194</t>
  </si>
  <si>
    <t>ITM0195</t>
  </si>
  <si>
    <t>ITM0196</t>
  </si>
  <si>
    <t>ITM0197</t>
  </si>
  <si>
    <t>ITM0198</t>
  </si>
  <si>
    <t>ITM0199</t>
  </si>
  <si>
    <t>ITM0200</t>
  </si>
  <si>
    <t>Invoice_ID</t>
  </si>
  <si>
    <t>PO_Number</t>
  </si>
  <si>
    <t>Invoice_Date</t>
  </si>
  <si>
    <t>Invoice_Amount</t>
  </si>
  <si>
    <t>Tax</t>
  </si>
  <si>
    <t>Discount</t>
  </si>
  <si>
    <t>Final_Amount</t>
  </si>
  <si>
    <t>Payment_Status</t>
  </si>
  <si>
    <t>Calculated_Total</t>
  </si>
  <si>
    <t>Invoice_Discrepancy</t>
  </si>
  <si>
    <t>INV0001</t>
  </si>
  <si>
    <t>PO0001</t>
  </si>
  <si>
    <t>Pending</t>
  </si>
  <si>
    <t>INV0002</t>
  </si>
  <si>
    <t>PO0002</t>
  </si>
  <si>
    <t>Paid</t>
  </si>
  <si>
    <t>INV0003</t>
  </si>
  <si>
    <t>PO0003</t>
  </si>
  <si>
    <t>INV0004</t>
  </si>
  <si>
    <t>PO0004</t>
  </si>
  <si>
    <t>INV0005</t>
  </si>
  <si>
    <t>PO0005</t>
  </si>
  <si>
    <t>INV0006</t>
  </si>
  <si>
    <t>PO0006</t>
  </si>
  <si>
    <t>INV0007</t>
  </si>
  <si>
    <t>PO0007</t>
  </si>
  <si>
    <t>INV0008</t>
  </si>
  <si>
    <t>PO0008</t>
  </si>
  <si>
    <t>INV0009</t>
  </si>
  <si>
    <t>PO0009</t>
  </si>
  <si>
    <t>Overdue</t>
  </si>
  <si>
    <t>INV0010</t>
  </si>
  <si>
    <t>PO0010</t>
  </si>
  <si>
    <t>INV0011</t>
  </si>
  <si>
    <t>PO0011</t>
  </si>
  <si>
    <t>INV0012</t>
  </si>
  <si>
    <t>PO0012</t>
  </si>
  <si>
    <t>INV0013</t>
  </si>
  <si>
    <t>PO0013</t>
  </si>
  <si>
    <t>INV0014</t>
  </si>
  <si>
    <t>PO0014</t>
  </si>
  <si>
    <t>INV0015</t>
  </si>
  <si>
    <t>PO0015</t>
  </si>
  <si>
    <t>INV0016</t>
  </si>
  <si>
    <t>PO0016</t>
  </si>
  <si>
    <t>INV0017</t>
  </si>
  <si>
    <t>PO0017</t>
  </si>
  <si>
    <t>INV0018</t>
  </si>
  <si>
    <t>PO0018</t>
  </si>
  <si>
    <t>INV0019</t>
  </si>
  <si>
    <t>PO0019</t>
  </si>
  <si>
    <t>INV0020</t>
  </si>
  <si>
    <t>PO0020</t>
  </si>
  <si>
    <t>INV0021</t>
  </si>
  <si>
    <t>PO0021</t>
  </si>
  <si>
    <t>INV0022</t>
  </si>
  <si>
    <t>PO0022</t>
  </si>
  <si>
    <t>INV0023</t>
  </si>
  <si>
    <t>PO0023</t>
  </si>
  <si>
    <t>INV0024</t>
  </si>
  <si>
    <t>PO0024</t>
  </si>
  <si>
    <t>INV0025</t>
  </si>
  <si>
    <t>PO0025</t>
  </si>
  <si>
    <t>INV0026</t>
  </si>
  <si>
    <t>PO0026</t>
  </si>
  <si>
    <t>INV0027</t>
  </si>
  <si>
    <t>PO0027</t>
  </si>
  <si>
    <t>INV0028</t>
  </si>
  <si>
    <t>PO0028</t>
  </si>
  <si>
    <t>INV0029</t>
  </si>
  <si>
    <t>PO0029</t>
  </si>
  <si>
    <t>INV0030</t>
  </si>
  <si>
    <t>PO0030</t>
  </si>
  <si>
    <t>INV0031</t>
  </si>
  <si>
    <t>PO0031</t>
  </si>
  <si>
    <t>INV0032</t>
  </si>
  <si>
    <t>PO0032</t>
  </si>
  <si>
    <t>INV0033</t>
  </si>
  <si>
    <t>PO0033</t>
  </si>
  <si>
    <t>INV0034</t>
  </si>
  <si>
    <t>PO0034</t>
  </si>
  <si>
    <t>INV0035</t>
  </si>
  <si>
    <t>PO0035</t>
  </si>
  <si>
    <t>INV0036</t>
  </si>
  <si>
    <t>PO0036</t>
  </si>
  <si>
    <t>INV0037</t>
  </si>
  <si>
    <t>PO0037</t>
  </si>
  <si>
    <t>INV0038</t>
  </si>
  <si>
    <t>PO0038</t>
  </si>
  <si>
    <t>INV0039</t>
  </si>
  <si>
    <t>PO0039</t>
  </si>
  <si>
    <t>INV0040</t>
  </si>
  <si>
    <t>PO0040</t>
  </si>
  <si>
    <t>INV0041</t>
  </si>
  <si>
    <t>PO0041</t>
  </si>
  <si>
    <t>INV0042</t>
  </si>
  <si>
    <t>PO0042</t>
  </si>
  <si>
    <t>INV0043</t>
  </si>
  <si>
    <t>PO0043</t>
  </si>
  <si>
    <t>INV0044</t>
  </si>
  <si>
    <t>PO0044</t>
  </si>
  <si>
    <t>INV0045</t>
  </si>
  <si>
    <t>PO0045</t>
  </si>
  <si>
    <t>INV0046</t>
  </si>
  <si>
    <t>PO0046</t>
  </si>
  <si>
    <t>INV0047</t>
  </si>
  <si>
    <t>PO0047</t>
  </si>
  <si>
    <t>INV0048</t>
  </si>
  <si>
    <t>PO0048</t>
  </si>
  <si>
    <t>INV0049</t>
  </si>
  <si>
    <t>PO0049</t>
  </si>
  <si>
    <t>INV0050</t>
  </si>
  <si>
    <t>PO0050</t>
  </si>
  <si>
    <t>INV0051</t>
  </si>
  <si>
    <t>PO0051</t>
  </si>
  <si>
    <t>INV0052</t>
  </si>
  <si>
    <t>PO0052</t>
  </si>
  <si>
    <t>INV0053</t>
  </si>
  <si>
    <t>PO0053</t>
  </si>
  <si>
    <t>INV0054</t>
  </si>
  <si>
    <t>PO0054</t>
  </si>
  <si>
    <t>INV0055</t>
  </si>
  <si>
    <t>PO0055</t>
  </si>
  <si>
    <t>INV0056</t>
  </si>
  <si>
    <t>PO0056</t>
  </si>
  <si>
    <t>INV0057</t>
  </si>
  <si>
    <t>PO0057</t>
  </si>
  <si>
    <t>INV0058</t>
  </si>
  <si>
    <t>PO0058</t>
  </si>
  <si>
    <t>INV0059</t>
  </si>
  <si>
    <t>PO0059</t>
  </si>
  <si>
    <t>INV0060</t>
  </si>
  <si>
    <t>PO0060</t>
  </si>
  <si>
    <t>INV0061</t>
  </si>
  <si>
    <t>PO0061</t>
  </si>
  <si>
    <t>INV0062</t>
  </si>
  <si>
    <t>PO0062</t>
  </si>
  <si>
    <t>INV0063</t>
  </si>
  <si>
    <t>PO0063</t>
  </si>
  <si>
    <t>INV0064</t>
  </si>
  <si>
    <t>PO0064</t>
  </si>
  <si>
    <t>INV0065</t>
  </si>
  <si>
    <t>PO0065</t>
  </si>
  <si>
    <t>INV0066</t>
  </si>
  <si>
    <t>PO0066</t>
  </si>
  <si>
    <t>INV0067</t>
  </si>
  <si>
    <t>PO0067</t>
  </si>
  <si>
    <t>INV0068</t>
  </si>
  <si>
    <t>PO0068</t>
  </si>
  <si>
    <t>INV0069</t>
  </si>
  <si>
    <t>PO0069</t>
  </si>
  <si>
    <t>INV0070</t>
  </si>
  <si>
    <t>PO0070</t>
  </si>
  <si>
    <t>INV0071</t>
  </si>
  <si>
    <t>PO0071</t>
  </si>
  <si>
    <t>INV0072</t>
  </si>
  <si>
    <t>PO0072</t>
  </si>
  <si>
    <t>INV0073</t>
  </si>
  <si>
    <t>PO0073</t>
  </si>
  <si>
    <t>INV0074</t>
  </si>
  <si>
    <t>PO0074</t>
  </si>
  <si>
    <t>INV0075</t>
  </si>
  <si>
    <t>PO0075</t>
  </si>
  <si>
    <t>INV0076</t>
  </si>
  <si>
    <t>PO0076</t>
  </si>
  <si>
    <t>INV0077</t>
  </si>
  <si>
    <t>PO0077</t>
  </si>
  <si>
    <t>INV0078</t>
  </si>
  <si>
    <t>PO0078</t>
  </si>
  <si>
    <t>INV0079</t>
  </si>
  <si>
    <t>PO0079</t>
  </si>
  <si>
    <t>INV0080</t>
  </si>
  <si>
    <t>PO0080</t>
  </si>
  <si>
    <t>INV0081</t>
  </si>
  <si>
    <t>PO0081</t>
  </si>
  <si>
    <t>INV0082</t>
  </si>
  <si>
    <t>PO0082</t>
  </si>
  <si>
    <t>INV0083</t>
  </si>
  <si>
    <t>PO0083</t>
  </si>
  <si>
    <t>INV0084</t>
  </si>
  <si>
    <t>PO0084</t>
  </si>
  <si>
    <t>INV0085</t>
  </si>
  <si>
    <t>PO0085</t>
  </si>
  <si>
    <t>INV0086</t>
  </si>
  <si>
    <t>PO0086</t>
  </si>
  <si>
    <t>INV0087</t>
  </si>
  <si>
    <t>PO0087</t>
  </si>
  <si>
    <t>INV0088</t>
  </si>
  <si>
    <t>PO0088</t>
  </si>
  <si>
    <t>INV0089</t>
  </si>
  <si>
    <t>PO0089</t>
  </si>
  <si>
    <t>INV0090</t>
  </si>
  <si>
    <t>PO0090</t>
  </si>
  <si>
    <t>INV0091</t>
  </si>
  <si>
    <t>PO0091</t>
  </si>
  <si>
    <t>INV0092</t>
  </si>
  <si>
    <t>PO0092</t>
  </si>
  <si>
    <t>INV0093</t>
  </si>
  <si>
    <t>PO0093</t>
  </si>
  <si>
    <t>INV0094</t>
  </si>
  <si>
    <t>PO0094</t>
  </si>
  <si>
    <t>INV0095</t>
  </si>
  <si>
    <t>PO0095</t>
  </si>
  <si>
    <t>INV0096</t>
  </si>
  <si>
    <t>PO0096</t>
  </si>
  <si>
    <t>INV0097</t>
  </si>
  <si>
    <t>PO0097</t>
  </si>
  <si>
    <t>INV0098</t>
  </si>
  <si>
    <t>PO0098</t>
  </si>
  <si>
    <t>INV0099</t>
  </si>
  <si>
    <t>PO0099</t>
  </si>
  <si>
    <t>INV0100</t>
  </si>
  <si>
    <t>PO0100</t>
  </si>
  <si>
    <t>INV0101</t>
  </si>
  <si>
    <t>PO0101</t>
  </si>
  <si>
    <t>INV0102</t>
  </si>
  <si>
    <t>PO0102</t>
  </si>
  <si>
    <t>INV0103</t>
  </si>
  <si>
    <t>PO0103</t>
  </si>
  <si>
    <t>INV0104</t>
  </si>
  <si>
    <t>PO0104</t>
  </si>
  <si>
    <t>INV0105</t>
  </si>
  <si>
    <t>PO0105</t>
  </si>
  <si>
    <t>INV0106</t>
  </si>
  <si>
    <t>PO0106</t>
  </si>
  <si>
    <t>INV0107</t>
  </si>
  <si>
    <t>PO0107</t>
  </si>
  <si>
    <t>INV0108</t>
  </si>
  <si>
    <t>PO0108</t>
  </si>
  <si>
    <t>INV0109</t>
  </si>
  <si>
    <t>PO0109</t>
  </si>
  <si>
    <t>INV0110</t>
  </si>
  <si>
    <t>PO0110</t>
  </si>
  <si>
    <t>INV0111</t>
  </si>
  <si>
    <t>PO0111</t>
  </si>
  <si>
    <t>INV0112</t>
  </si>
  <si>
    <t>PO0112</t>
  </si>
  <si>
    <t>INV0113</t>
  </si>
  <si>
    <t>PO0113</t>
  </si>
  <si>
    <t>INV0114</t>
  </si>
  <si>
    <t>PO0114</t>
  </si>
  <si>
    <t>INV0115</t>
  </si>
  <si>
    <t>PO0115</t>
  </si>
  <si>
    <t>INV0116</t>
  </si>
  <si>
    <t>PO0116</t>
  </si>
  <si>
    <t>INV0117</t>
  </si>
  <si>
    <t>PO0117</t>
  </si>
  <si>
    <t>INV0118</t>
  </si>
  <si>
    <t>PO0118</t>
  </si>
  <si>
    <t>INV0119</t>
  </si>
  <si>
    <t>PO0119</t>
  </si>
  <si>
    <t>INV0120</t>
  </si>
  <si>
    <t>PO0120</t>
  </si>
  <si>
    <t>INV0121</t>
  </si>
  <si>
    <t>PO0121</t>
  </si>
  <si>
    <t>INV0122</t>
  </si>
  <si>
    <t>PO0122</t>
  </si>
  <si>
    <t>INV0123</t>
  </si>
  <si>
    <t>PO0123</t>
  </si>
  <si>
    <t>INV0124</t>
  </si>
  <si>
    <t>PO0124</t>
  </si>
  <si>
    <t>INV0125</t>
  </si>
  <si>
    <t>PO0125</t>
  </si>
  <si>
    <t>INV0126</t>
  </si>
  <si>
    <t>PO0126</t>
  </si>
  <si>
    <t>INV0127</t>
  </si>
  <si>
    <t>PO0127</t>
  </si>
  <si>
    <t>INV0128</t>
  </si>
  <si>
    <t>PO0128</t>
  </si>
  <si>
    <t>INV0129</t>
  </si>
  <si>
    <t>PO0129</t>
  </si>
  <si>
    <t>INV0130</t>
  </si>
  <si>
    <t>PO0130</t>
  </si>
  <si>
    <t>INV0131</t>
  </si>
  <si>
    <t>PO0131</t>
  </si>
  <si>
    <t>INV0132</t>
  </si>
  <si>
    <t>PO0132</t>
  </si>
  <si>
    <t>INV0133</t>
  </si>
  <si>
    <t>PO0133</t>
  </si>
  <si>
    <t>INV0134</t>
  </si>
  <si>
    <t>PO0134</t>
  </si>
  <si>
    <t>INV0135</t>
  </si>
  <si>
    <t>PO0135</t>
  </si>
  <si>
    <t>INV0136</t>
  </si>
  <si>
    <t>PO0136</t>
  </si>
  <si>
    <t>INV0137</t>
  </si>
  <si>
    <t>PO0137</t>
  </si>
  <si>
    <t>INV0138</t>
  </si>
  <si>
    <t>PO0138</t>
  </si>
  <si>
    <t>INV0139</t>
  </si>
  <si>
    <t>PO0139</t>
  </si>
  <si>
    <t>INV0140</t>
  </si>
  <si>
    <t>PO0140</t>
  </si>
  <si>
    <t>INV0141</t>
  </si>
  <si>
    <t>PO0141</t>
  </si>
  <si>
    <t>INV0142</t>
  </si>
  <si>
    <t>PO0142</t>
  </si>
  <si>
    <t>INV0143</t>
  </si>
  <si>
    <t>PO0143</t>
  </si>
  <si>
    <t>INV0144</t>
  </si>
  <si>
    <t>PO0144</t>
  </si>
  <si>
    <t>INV0145</t>
  </si>
  <si>
    <t>PO0145</t>
  </si>
  <si>
    <t>INV0146</t>
  </si>
  <si>
    <t>PO0146</t>
  </si>
  <si>
    <t>INV0147</t>
  </si>
  <si>
    <t>PO0147</t>
  </si>
  <si>
    <t>INV0148</t>
  </si>
  <si>
    <t>PO0148</t>
  </si>
  <si>
    <t>INV0149</t>
  </si>
  <si>
    <t>PO0149</t>
  </si>
  <si>
    <t>INV0150</t>
  </si>
  <si>
    <t>PO0150</t>
  </si>
  <si>
    <t>INV0151</t>
  </si>
  <si>
    <t>PO0151</t>
  </si>
  <si>
    <t>INV0152</t>
  </si>
  <si>
    <t>PO0152</t>
  </si>
  <si>
    <t>INV0153</t>
  </si>
  <si>
    <t>PO0153</t>
  </si>
  <si>
    <t>INV0154</t>
  </si>
  <si>
    <t>PO0154</t>
  </si>
  <si>
    <t>INV0155</t>
  </si>
  <si>
    <t>PO0155</t>
  </si>
  <si>
    <t>INV0156</t>
  </si>
  <si>
    <t>PO0156</t>
  </si>
  <si>
    <t>INV0157</t>
  </si>
  <si>
    <t>PO0157</t>
  </si>
  <si>
    <t>INV0158</t>
  </si>
  <si>
    <t>PO0158</t>
  </si>
  <si>
    <t>INV0159</t>
  </si>
  <si>
    <t>PO0159</t>
  </si>
  <si>
    <t>INV0160</t>
  </si>
  <si>
    <t>PO0160</t>
  </si>
  <si>
    <t>INV0161</t>
  </si>
  <si>
    <t>PO0161</t>
  </si>
  <si>
    <t>INV0162</t>
  </si>
  <si>
    <t>PO0162</t>
  </si>
  <si>
    <t>INV0163</t>
  </si>
  <si>
    <t>PO0163</t>
  </si>
  <si>
    <t>INV0164</t>
  </si>
  <si>
    <t>PO0164</t>
  </si>
  <si>
    <t>INV0165</t>
  </si>
  <si>
    <t>PO0165</t>
  </si>
  <si>
    <t>INV0166</t>
  </si>
  <si>
    <t>PO0166</t>
  </si>
  <si>
    <t>INV0167</t>
  </si>
  <si>
    <t>PO0167</t>
  </si>
  <si>
    <t>INV0168</t>
  </si>
  <si>
    <t>PO0168</t>
  </si>
  <si>
    <t>INV0169</t>
  </si>
  <si>
    <t>PO0169</t>
  </si>
  <si>
    <t>INV0170</t>
  </si>
  <si>
    <t>PO0170</t>
  </si>
  <si>
    <t>INV0171</t>
  </si>
  <si>
    <t>PO0171</t>
  </si>
  <si>
    <t>INV0172</t>
  </si>
  <si>
    <t>PO0172</t>
  </si>
  <si>
    <t>INV0173</t>
  </si>
  <si>
    <t>PO0173</t>
  </si>
  <si>
    <t>INV0174</t>
  </si>
  <si>
    <t>PO0174</t>
  </si>
  <si>
    <t>INV0175</t>
  </si>
  <si>
    <t>PO0175</t>
  </si>
  <si>
    <t>INV0176</t>
  </si>
  <si>
    <t>PO0176</t>
  </si>
  <si>
    <t>INV0177</t>
  </si>
  <si>
    <t>PO0177</t>
  </si>
  <si>
    <t>INV0178</t>
  </si>
  <si>
    <t>PO0178</t>
  </si>
  <si>
    <t>INV0179</t>
  </si>
  <si>
    <t>PO0179</t>
  </si>
  <si>
    <t>INV0180</t>
  </si>
  <si>
    <t>PO0180</t>
  </si>
  <si>
    <t>INV0181</t>
  </si>
  <si>
    <t>PO0181</t>
  </si>
  <si>
    <t>INV0182</t>
  </si>
  <si>
    <t>PO0182</t>
  </si>
  <si>
    <t>INV0183</t>
  </si>
  <si>
    <t>PO0183</t>
  </si>
  <si>
    <t>INV0184</t>
  </si>
  <si>
    <t>PO0184</t>
  </si>
  <si>
    <t>INV0185</t>
  </si>
  <si>
    <t>PO0185</t>
  </si>
  <si>
    <t>INV0186</t>
  </si>
  <si>
    <t>PO0186</t>
  </si>
  <si>
    <t>INV0187</t>
  </si>
  <si>
    <t>PO0187</t>
  </si>
  <si>
    <t>INV0188</t>
  </si>
  <si>
    <t>PO0188</t>
  </si>
  <si>
    <t>INV0189</t>
  </si>
  <si>
    <t>PO0189</t>
  </si>
  <si>
    <t>INV0190</t>
  </si>
  <si>
    <t>PO0190</t>
  </si>
  <si>
    <t>INV0191</t>
  </si>
  <si>
    <t>PO0191</t>
  </si>
  <si>
    <t>INV0192</t>
  </si>
  <si>
    <t>PO0192</t>
  </si>
  <si>
    <t>INV0193</t>
  </si>
  <si>
    <t>PO0193</t>
  </si>
  <si>
    <t>INV0194</t>
  </si>
  <si>
    <t>PO0194</t>
  </si>
  <si>
    <t>INV0195</t>
  </si>
  <si>
    <t>PO0195</t>
  </si>
  <si>
    <t>INV0196</t>
  </si>
  <si>
    <t>PO0196</t>
  </si>
  <si>
    <t>INV0197</t>
  </si>
  <si>
    <t>PO0197</t>
  </si>
  <si>
    <t>INV0198</t>
  </si>
  <si>
    <t>PO0198</t>
  </si>
  <si>
    <t>INV0199</t>
  </si>
  <si>
    <t>PO0199</t>
  </si>
  <si>
    <t>INV0200</t>
  </si>
  <si>
    <t>PO0200</t>
  </si>
  <si>
    <t>Supplier_ID</t>
  </si>
  <si>
    <t>Order_Date</t>
  </si>
  <si>
    <t>Expected_Delivery</t>
  </si>
  <si>
    <t>Quantity</t>
  </si>
  <si>
    <t>Unit_Price</t>
  </si>
  <si>
    <t>PO_Amount</t>
  </si>
  <si>
    <t>Status</t>
  </si>
  <si>
    <t>SUP037</t>
  </si>
  <si>
    <t>Closed</t>
  </si>
  <si>
    <t>SUP013</t>
  </si>
  <si>
    <t>SUP027</t>
  </si>
  <si>
    <t>Open</t>
  </si>
  <si>
    <t>SUP026</t>
  </si>
  <si>
    <t>SUP018</t>
  </si>
  <si>
    <t>Cancelled</t>
  </si>
  <si>
    <t>SUP007</t>
  </si>
  <si>
    <t>SUP049</t>
  </si>
  <si>
    <t>SUP031</t>
  </si>
  <si>
    <t>SUP025</t>
  </si>
  <si>
    <t>SUP028</t>
  </si>
  <si>
    <t>SUP035</t>
  </si>
  <si>
    <t>SUP038</t>
  </si>
  <si>
    <t>SUP033</t>
  </si>
  <si>
    <t>SUP005</t>
  </si>
  <si>
    <t>SUP014</t>
  </si>
  <si>
    <t>SUP017</t>
  </si>
  <si>
    <t>SUP024</t>
  </si>
  <si>
    <t>SUP020</t>
  </si>
  <si>
    <t>SUP036</t>
  </si>
  <si>
    <t>SUP008</t>
  </si>
  <si>
    <t>SUP019</t>
  </si>
  <si>
    <t>SUP041</t>
  </si>
  <si>
    <t>SUP004</t>
  </si>
  <si>
    <t>SUP001</t>
  </si>
  <si>
    <t>SUP048</t>
  </si>
  <si>
    <t>SUP003</t>
  </si>
  <si>
    <t>SUP044</t>
  </si>
  <si>
    <t>SUP012</t>
  </si>
  <si>
    <t>SUP022</t>
  </si>
  <si>
    <t>SUP011</t>
  </si>
  <si>
    <t>SUP015</t>
  </si>
  <si>
    <t>SUP021</t>
  </si>
  <si>
    <t>SUP034</t>
  </si>
  <si>
    <t>SUP043</t>
  </si>
  <si>
    <t>SUP009</t>
  </si>
  <si>
    <t>SUP029</t>
  </si>
  <si>
    <t>SUP016</t>
  </si>
  <si>
    <t>SUP030</t>
  </si>
  <si>
    <t>SUP006</t>
  </si>
  <si>
    <t>SUP010</t>
  </si>
  <si>
    <t>SUP032</t>
  </si>
  <si>
    <t>SUP002</t>
  </si>
  <si>
    <t>SUP042</t>
  </si>
  <si>
    <t>SUP045</t>
  </si>
  <si>
    <t>SUP050</t>
  </si>
  <si>
    <t>SUP023</t>
  </si>
  <si>
    <t>SUP040</t>
  </si>
  <si>
    <t>SUP039</t>
  </si>
  <si>
    <t>Shipment_ID</t>
  </si>
  <si>
    <t>Dispatch_Date</t>
  </si>
  <si>
    <t>Delivery_Date</t>
  </si>
  <si>
    <t>Delay_Days</t>
  </si>
  <si>
    <t>Shipment_Status</t>
  </si>
  <si>
    <t>SHP0001</t>
  </si>
  <si>
    <t>Delivered</t>
  </si>
  <si>
    <t>SHP0002</t>
  </si>
  <si>
    <t>In Transit</t>
  </si>
  <si>
    <t>SHP0003</t>
  </si>
  <si>
    <t>Delayed</t>
  </si>
  <si>
    <t>SHP0004</t>
  </si>
  <si>
    <t>SHP0005</t>
  </si>
  <si>
    <t>SHP0006</t>
  </si>
  <si>
    <t>SHP0007</t>
  </si>
  <si>
    <t>SHP0008</t>
  </si>
  <si>
    <t>SHP0009</t>
  </si>
  <si>
    <t>SHP0010</t>
  </si>
  <si>
    <t>SHP0011</t>
  </si>
  <si>
    <t>SHP0012</t>
  </si>
  <si>
    <t>SHP0013</t>
  </si>
  <si>
    <t>SHP0014</t>
  </si>
  <si>
    <t>SHP0015</t>
  </si>
  <si>
    <t>SHP0016</t>
  </si>
  <si>
    <t>SHP0017</t>
  </si>
  <si>
    <t>SHP0018</t>
  </si>
  <si>
    <t>SHP0019</t>
  </si>
  <si>
    <t>SHP0020</t>
  </si>
  <si>
    <t>SHP0021</t>
  </si>
  <si>
    <t>SHP0022</t>
  </si>
  <si>
    <t>SHP0023</t>
  </si>
  <si>
    <t>SHP0024</t>
  </si>
  <si>
    <t>SHP0025</t>
  </si>
  <si>
    <t>SHP0026</t>
  </si>
  <si>
    <t>SHP0027</t>
  </si>
  <si>
    <t>SHP0028</t>
  </si>
  <si>
    <t>SHP0029</t>
  </si>
  <si>
    <t>SHP0030</t>
  </si>
  <si>
    <t>SHP0031</t>
  </si>
  <si>
    <t>SHP0032</t>
  </si>
  <si>
    <t>SHP0033</t>
  </si>
  <si>
    <t>SHP0034</t>
  </si>
  <si>
    <t>SHP0035</t>
  </si>
  <si>
    <t>SHP0036</t>
  </si>
  <si>
    <t>SHP0037</t>
  </si>
  <si>
    <t>SHP0038</t>
  </si>
  <si>
    <t>SHP0039</t>
  </si>
  <si>
    <t>SHP0040</t>
  </si>
  <si>
    <t>SHP0041</t>
  </si>
  <si>
    <t>SHP0042</t>
  </si>
  <si>
    <t>SHP0043</t>
  </si>
  <si>
    <t>SHP0044</t>
  </si>
  <si>
    <t>SHP0045</t>
  </si>
  <si>
    <t>SHP0046</t>
  </si>
  <si>
    <t>SHP0047</t>
  </si>
  <si>
    <t>SHP0048</t>
  </si>
  <si>
    <t>SHP0049</t>
  </si>
  <si>
    <t>SHP0050</t>
  </si>
  <si>
    <t>SHP0051</t>
  </si>
  <si>
    <t>SHP0052</t>
  </si>
  <si>
    <t>SHP0053</t>
  </si>
  <si>
    <t>SHP0054</t>
  </si>
  <si>
    <t>SHP0055</t>
  </si>
  <si>
    <t>SHP0056</t>
  </si>
  <si>
    <t>SHP0057</t>
  </si>
  <si>
    <t>SHP0058</t>
  </si>
  <si>
    <t>SHP0059</t>
  </si>
  <si>
    <t>SHP0060</t>
  </si>
  <si>
    <t>SHP0061</t>
  </si>
  <si>
    <t>SHP0062</t>
  </si>
  <si>
    <t>SHP0063</t>
  </si>
  <si>
    <t>SHP0064</t>
  </si>
  <si>
    <t>SHP0065</t>
  </si>
  <si>
    <t>SHP0066</t>
  </si>
  <si>
    <t>SHP0067</t>
  </si>
  <si>
    <t>SHP0068</t>
  </si>
  <si>
    <t>SHP0069</t>
  </si>
  <si>
    <t>SHP0070</t>
  </si>
  <si>
    <t>SHP0071</t>
  </si>
  <si>
    <t>SHP0072</t>
  </si>
  <si>
    <t>SHP0073</t>
  </si>
  <si>
    <t>SHP0074</t>
  </si>
  <si>
    <t>SHP0075</t>
  </si>
  <si>
    <t>SHP0076</t>
  </si>
  <si>
    <t>SHP0077</t>
  </si>
  <si>
    <t>SHP0078</t>
  </si>
  <si>
    <t>SHP0079</t>
  </si>
  <si>
    <t>SHP0080</t>
  </si>
  <si>
    <t>SHP0081</t>
  </si>
  <si>
    <t>SHP0082</t>
  </si>
  <si>
    <t>SHP0083</t>
  </si>
  <si>
    <t>SHP0084</t>
  </si>
  <si>
    <t>SHP0085</t>
  </si>
  <si>
    <t>SHP0086</t>
  </si>
  <si>
    <t>SHP0087</t>
  </si>
  <si>
    <t>SHP0088</t>
  </si>
  <si>
    <t>SHP0089</t>
  </si>
  <si>
    <t>SHP0090</t>
  </si>
  <si>
    <t>SHP0091</t>
  </si>
  <si>
    <t>SHP0092</t>
  </si>
  <si>
    <t>SHP0093</t>
  </si>
  <si>
    <t>SHP0094</t>
  </si>
  <si>
    <t>SHP0095</t>
  </si>
  <si>
    <t>SHP0096</t>
  </si>
  <si>
    <t>SHP0097</t>
  </si>
  <si>
    <t>SHP0098</t>
  </si>
  <si>
    <t>SHP0099</t>
  </si>
  <si>
    <t>SHP0100</t>
  </si>
  <si>
    <t>SHP0101</t>
  </si>
  <si>
    <t>SHP0102</t>
  </si>
  <si>
    <t>SHP0103</t>
  </si>
  <si>
    <t>SHP0104</t>
  </si>
  <si>
    <t>SHP0105</t>
  </si>
  <si>
    <t>SHP0106</t>
  </si>
  <si>
    <t>SHP0107</t>
  </si>
  <si>
    <t>SHP0108</t>
  </si>
  <si>
    <t>SHP0109</t>
  </si>
  <si>
    <t>SHP0110</t>
  </si>
  <si>
    <t>SHP0111</t>
  </si>
  <si>
    <t>SHP0112</t>
  </si>
  <si>
    <t>SHP0113</t>
  </si>
  <si>
    <t>SHP0114</t>
  </si>
  <si>
    <t>SHP0115</t>
  </si>
  <si>
    <t>SHP0116</t>
  </si>
  <si>
    <t>SHP0117</t>
  </si>
  <si>
    <t>SHP0118</t>
  </si>
  <si>
    <t>SHP0119</t>
  </si>
  <si>
    <t>SHP0120</t>
  </si>
  <si>
    <t>SHP0121</t>
  </si>
  <si>
    <t>SHP0122</t>
  </si>
  <si>
    <t>SHP0123</t>
  </si>
  <si>
    <t>SHP0124</t>
  </si>
  <si>
    <t>SHP0125</t>
  </si>
  <si>
    <t>SHP0126</t>
  </si>
  <si>
    <t>SHP0127</t>
  </si>
  <si>
    <t>SHP0128</t>
  </si>
  <si>
    <t>SHP0129</t>
  </si>
  <si>
    <t>SHP0130</t>
  </si>
  <si>
    <t>SHP0131</t>
  </si>
  <si>
    <t>SHP0132</t>
  </si>
  <si>
    <t>SHP0133</t>
  </si>
  <si>
    <t>SHP0134</t>
  </si>
  <si>
    <t>SHP0135</t>
  </si>
  <si>
    <t>SHP0136</t>
  </si>
  <si>
    <t>SHP0137</t>
  </si>
  <si>
    <t>SHP0138</t>
  </si>
  <si>
    <t>SHP0139</t>
  </si>
  <si>
    <t>SHP0140</t>
  </si>
  <si>
    <t>SHP0141</t>
  </si>
  <si>
    <t>SHP0142</t>
  </si>
  <si>
    <t>SHP0143</t>
  </si>
  <si>
    <t>SHP0144</t>
  </si>
  <si>
    <t>SHP0145</t>
  </si>
  <si>
    <t>SHP0146</t>
  </si>
  <si>
    <t>SHP0147</t>
  </si>
  <si>
    <t>SHP0148</t>
  </si>
  <si>
    <t>SHP0149</t>
  </si>
  <si>
    <t>SHP0150</t>
  </si>
  <si>
    <t>SHP0151</t>
  </si>
  <si>
    <t>SHP0152</t>
  </si>
  <si>
    <t>SHP0153</t>
  </si>
  <si>
    <t>SHP0154</t>
  </si>
  <si>
    <t>SHP0155</t>
  </si>
  <si>
    <t>SHP0156</t>
  </si>
  <si>
    <t>SHP0157</t>
  </si>
  <si>
    <t>SHP0158</t>
  </si>
  <si>
    <t>SHP0159</t>
  </si>
  <si>
    <t>SHP0160</t>
  </si>
  <si>
    <t>SHP0161</t>
  </si>
  <si>
    <t>SHP0162</t>
  </si>
  <si>
    <t>SHP0163</t>
  </si>
  <si>
    <t>SHP0164</t>
  </si>
  <si>
    <t>SHP0165</t>
  </si>
  <si>
    <t>SHP0166</t>
  </si>
  <si>
    <t>SHP0167</t>
  </si>
  <si>
    <t>SHP0168</t>
  </si>
  <si>
    <t>SHP0169</t>
  </si>
  <si>
    <t>SHP0170</t>
  </si>
  <si>
    <t>SHP0171</t>
  </si>
  <si>
    <t>SHP0172</t>
  </si>
  <si>
    <t>SHP0173</t>
  </si>
  <si>
    <t>SHP0174</t>
  </si>
  <si>
    <t>SHP0175</t>
  </si>
  <si>
    <t>SHP0176</t>
  </si>
  <si>
    <t>SHP0177</t>
  </si>
  <si>
    <t>SHP0178</t>
  </si>
  <si>
    <t>SHP0179</t>
  </si>
  <si>
    <t>SHP0180</t>
  </si>
  <si>
    <t>SHP0181</t>
  </si>
  <si>
    <t>SHP0182</t>
  </si>
  <si>
    <t>SHP0183</t>
  </si>
  <si>
    <t>SHP0184</t>
  </si>
  <si>
    <t>SHP0185</t>
  </si>
  <si>
    <t>SHP0186</t>
  </si>
  <si>
    <t>SHP0187</t>
  </si>
  <si>
    <t>SHP0188</t>
  </si>
  <si>
    <t>SHP0189</t>
  </si>
  <si>
    <t>SHP0190</t>
  </si>
  <si>
    <t>SHP0191</t>
  </si>
  <si>
    <t>SHP0192</t>
  </si>
  <si>
    <t>SHP0193</t>
  </si>
  <si>
    <t>SHP0194</t>
  </si>
  <si>
    <t>SHP0195</t>
  </si>
  <si>
    <t>SHP0196</t>
  </si>
  <si>
    <t>SHP0197</t>
  </si>
  <si>
    <t>SHP0198</t>
  </si>
  <si>
    <t>SHP0199</t>
  </si>
  <si>
    <t>SHP0200</t>
  </si>
  <si>
    <t>Supplier_Name</t>
  </si>
  <si>
    <t>Country</t>
  </si>
  <si>
    <t>Category</t>
  </si>
  <si>
    <t>Lead_Time_Days</t>
  </si>
  <si>
    <t>Supplier_Rating</t>
  </si>
  <si>
    <t>Huynh, Lopez And Jones</t>
  </si>
  <si>
    <t>Canada</t>
  </si>
  <si>
    <t>Electronics</t>
  </si>
  <si>
    <t>Cooper, Monroe And Gutierrez</t>
  </si>
  <si>
    <t>Mexico</t>
  </si>
  <si>
    <t>Plastic</t>
  </si>
  <si>
    <t>Hamilton Llc</t>
  </si>
  <si>
    <t>Chemicals</t>
  </si>
  <si>
    <t>Miller And Sons</t>
  </si>
  <si>
    <t>Mechanical</t>
  </si>
  <si>
    <t>Tate Plc</t>
  </si>
  <si>
    <t>Usa</t>
  </si>
  <si>
    <t>Elliott-Carr</t>
  </si>
  <si>
    <t>Japan</t>
  </si>
  <si>
    <t>Barnett Ltd</t>
  </si>
  <si>
    <t>Black-Figueroa</t>
  </si>
  <si>
    <t>India</t>
  </si>
  <si>
    <t>French-Johnson</t>
  </si>
  <si>
    <t>China</t>
  </si>
  <si>
    <t>Miller, Jones And Washington</t>
  </si>
  <si>
    <t>Packaging</t>
  </si>
  <si>
    <t>Miller-Lawrence</t>
  </si>
  <si>
    <t>Willis-Nicholson</t>
  </si>
  <si>
    <t>Rodriguez-Harris</t>
  </si>
  <si>
    <t>Wiggins, Flores And Wright</t>
  </si>
  <si>
    <t>Quinn Llc</t>
  </si>
  <si>
    <t>Rodriguez Ltd</t>
  </si>
  <si>
    <t>South Korea</t>
  </si>
  <si>
    <t>Velez Plc</t>
  </si>
  <si>
    <t>Delgado-Smith</t>
  </si>
  <si>
    <t>Mitchell Llc</t>
  </si>
  <si>
    <t>Germany</t>
  </si>
  <si>
    <t>Scott, Brooks And Howell</t>
  </si>
  <si>
    <t>Berg, Caldwell And Wood</t>
  </si>
  <si>
    <t>Duncan, Fry And Wade</t>
  </si>
  <si>
    <t>Morris, Richards And Martin</t>
  </si>
  <si>
    <t>Meyer, Ellis And Garcia</t>
  </si>
  <si>
    <t>Webb-Robinson</t>
  </si>
  <si>
    <t>Galvan-Brown</t>
  </si>
  <si>
    <t>Zimmerman Group</t>
  </si>
  <si>
    <t>Owen Llc</t>
  </si>
  <si>
    <t>Klein, Hayes And Short</t>
  </si>
  <si>
    <t>Anderson, Little And Woodward</t>
  </si>
  <si>
    <t>Harris-Shelton</t>
  </si>
  <si>
    <t>Gonzales, Patterson And Clark</t>
  </si>
  <si>
    <t>Snyder-Davis</t>
  </si>
  <si>
    <t>Johnson, Terrell And Moore</t>
  </si>
  <si>
    <t>White Llc</t>
  </si>
  <si>
    <t>Hunt Llc</t>
  </si>
  <si>
    <t>Reyes, Perez And Morgan</t>
  </si>
  <si>
    <t>Williams, Chavez And Barker</t>
  </si>
  <si>
    <t>Williams-Cruz</t>
  </si>
  <si>
    <t>Mills, Russell And Fischer</t>
  </si>
  <si>
    <t>Banks, Carter And Alexander</t>
  </si>
  <si>
    <t>Lindsey And Sons</t>
  </si>
  <si>
    <t>Santos And Sons</t>
  </si>
  <si>
    <t>Adams-Day</t>
  </si>
  <si>
    <t>Martinez-Warren</t>
  </si>
  <si>
    <t>Raw Materials</t>
  </si>
  <si>
    <t>SUP046</t>
  </si>
  <si>
    <t>Moody-Moore</t>
  </si>
  <si>
    <t>SUP047</t>
  </si>
  <si>
    <t>Davis, Ross And Gillespie</t>
  </si>
  <si>
    <t>Valdez Inc</t>
  </si>
  <si>
    <t>Gallagher-Crane</t>
  </si>
  <si>
    <t>Garrison-Fowler</t>
  </si>
  <si>
    <t>Total Spend</t>
  </si>
  <si>
    <t>Total Suppliers</t>
  </si>
  <si>
    <t>Inventory Value</t>
  </si>
  <si>
    <t>Pending Payments</t>
  </si>
  <si>
    <t>Delayed Shipments</t>
  </si>
  <si>
    <t>Invoice Errors</t>
  </si>
  <si>
    <t>Pivot Table 1 — Monthly Spend</t>
  </si>
  <si>
    <t>Row Labels</t>
  </si>
  <si>
    <t>Grand Total</t>
  </si>
  <si>
    <t>Sum of PO_Amount</t>
  </si>
  <si>
    <t>Jan</t>
  </si>
  <si>
    <t>Feb</t>
  </si>
  <si>
    <t>Mar</t>
  </si>
  <si>
    <t>Apr</t>
  </si>
  <si>
    <t>May</t>
  </si>
  <si>
    <t>Jun</t>
  </si>
  <si>
    <t>Jul</t>
  </si>
  <si>
    <t>Aug</t>
  </si>
  <si>
    <t>Sep</t>
  </si>
  <si>
    <t>Oct</t>
  </si>
  <si>
    <t>Nov</t>
  </si>
  <si>
    <t>Dec</t>
  </si>
  <si>
    <t>Pivot Table 2 — Supplier Performance</t>
  </si>
  <si>
    <t>Average of Supplier_Rating</t>
  </si>
  <si>
    <t>Average of Lead_Time_Days</t>
  </si>
  <si>
    <t>Pivot Table 3 — Material Purchase Summary</t>
  </si>
  <si>
    <t>Sum of Quantity</t>
  </si>
  <si>
    <t>Pivot Table 4 — Warehouse Inventory</t>
  </si>
  <si>
    <t>Column Labels</t>
  </si>
  <si>
    <t>Sum of Stock</t>
  </si>
  <si>
    <t>Pivot Table 5 --  Spend by Supplier Category</t>
  </si>
  <si>
    <t>Table:  Spend vs Payments</t>
  </si>
  <si>
    <t>Month</t>
  </si>
  <si>
    <t>Total PO Spend</t>
  </si>
  <si>
    <t>Total Invoice Payments</t>
  </si>
  <si>
    <t>PO_Month</t>
  </si>
  <si>
    <t>Inv_Month</t>
  </si>
  <si>
    <t>Sum of Inventory_Value</t>
  </si>
  <si>
    <t xml:space="preserve">Pivot Table 6 -- Inventory Value by Warehouse </t>
  </si>
  <si>
    <t>▲</t>
  </si>
  <si>
    <t>Overpaid</t>
  </si>
  <si>
    <t>2026-06</t>
  </si>
  <si>
    <t>2026-05</t>
  </si>
  <si>
    <t>2026-04</t>
  </si>
  <si>
    <t>▼</t>
  </si>
  <si>
    <t>Underpaid</t>
  </si>
  <si>
    <t>2026-03</t>
  </si>
  <si>
    <t>2026-02</t>
  </si>
  <si>
    <t>2026-01</t>
  </si>
  <si>
    <t>2025-12</t>
  </si>
  <si>
    <t>2025-11</t>
  </si>
  <si>
    <t>2025-10</t>
  </si>
  <si>
    <t>2025-09</t>
  </si>
  <si>
    <t>2025-08</t>
  </si>
  <si>
    <t>2025-07</t>
  </si>
  <si>
    <t>Trend</t>
  </si>
  <si>
    <t>Payment Status</t>
  </si>
  <si>
    <t>Variance %</t>
  </si>
  <si>
    <t>Variance</t>
  </si>
  <si>
    <t>Invoice Pmts</t>
  </si>
  <si>
    <t>PO Spend</t>
  </si>
  <si>
    <t>💳 SPEND vs INVOICE PAYMENTS — MONTHLY TREND</t>
  </si>
  <si>
    <t>100.00%</t>
  </si>
  <si>
    <t>20.51%</t>
  </si>
  <si>
    <t>13.98%</t>
  </si>
  <si>
    <t>21.62%</t>
  </si>
  <si>
    <t>21.55%</t>
  </si>
  <si>
    <t>22.34%</t>
  </si>
  <si>
    <t>Steel</t>
  </si>
  <si>
    <t>Rubber</t>
  </si>
  <si>
    <t>Copper</t>
  </si>
  <si>
    <t>Circuit Bd</t>
  </si>
  <si>
    <t>Aluminum</t>
  </si>
  <si>
    <t>% of Total</t>
  </si>
  <si>
    <t>Inv Value</t>
  </si>
  <si>
    <t>Stock Units</t>
  </si>
  <si>
    <t>🏗 WAREHOUSE INVENTORY DISTRIBUTION</t>
  </si>
  <si>
    <t>#10</t>
  </si>
  <si>
    <t>#9</t>
  </si>
  <si>
    <t>#8</t>
  </si>
  <si>
    <t>#7</t>
  </si>
  <si>
    <t>🔴 Low</t>
  </si>
  <si>
    <t>█</t>
  </si>
  <si>
    <t>#6</t>
  </si>
  <si>
    <t>✅ On Track</t>
  </si>
  <si>
    <t>████</t>
  </si>
  <si>
    <t>#5</t>
  </si>
  <si>
    <t>█████</t>
  </si>
  <si>
    <t>#4</t>
  </si>
  <si>
    <t>⚠ Review</t>
  </si>
  <si>
    <t>████████</t>
  </si>
  <si>
    <t>#3</t>
  </si>
  <si>
    <t>█████████</t>
  </si>
  <si>
    <t>#2</t>
  </si>
  <si>
    <t>██████████</t>
  </si>
  <si>
    <t>#1</t>
  </si>
  <si>
    <t>Bar</t>
  </si>
  <si>
    <t>Amount</t>
  </si>
  <si>
    <t>% Share</t>
  </si>
  <si>
    <t>Rank</t>
  </si>
  <si>
    <t>Avg Price</t>
  </si>
  <si>
    <t>Qty</t>
  </si>
  <si>
    <t>PO Amount</t>
  </si>
  <si>
    <t>🏷 SPEND BY SUPPLIER CATEGORY</t>
  </si>
  <si>
    <t>📦 MATERIAL PURCHASE SUMMARY</t>
  </si>
  <si>
    <t>Silver</t>
  </si>
  <si>
    <t>★★★★☆</t>
  </si>
  <si>
    <t>███</t>
  </si>
  <si>
    <t>███████</t>
  </si>
  <si>
    <t>Wiggins, Flores...</t>
  </si>
  <si>
    <t>██████</t>
  </si>
  <si>
    <t>Berg, Caldwell...</t>
  </si>
  <si>
    <t>Gold</t>
  </si>
  <si>
    <t>Scott, Brooks...</t>
  </si>
  <si>
    <t>Banks, Carter...</t>
  </si>
  <si>
    <t>★★★★★</t>
  </si>
  <si>
    <t>Platinum</t>
  </si>
  <si>
    <t>Anderson, Little...</t>
  </si>
  <si>
    <t>████████████</t>
  </si>
  <si>
    <t>Tier</t>
  </si>
  <si>
    <t>Lead Days</t>
  </si>
  <si>
    <t>Stars</t>
  </si>
  <si>
    <t>Rating</t>
  </si>
  <si>
    <t>Supplier</t>
  </si>
  <si>
    <t>vs Avg</t>
  </si>
  <si>
    <t>Spend ($)</t>
  </si>
  <si>
    <t>🏭 TOP SUPPLIER PERFORMANCE</t>
  </si>
  <si>
    <t>📅 MONTHLY SPEND ANALYSIS</t>
  </si>
  <si>
    <t>Requires Review</t>
  </si>
  <si>
    <t>Needs Attention</t>
  </si>
  <si>
    <t>37.4% of Spend</t>
  </si>
  <si>
    <t>5 Warehouses</t>
  </si>
  <si>
    <t>Active</t>
  </si>
  <si>
    <t>+8.3% YoY</t>
  </si>
  <si>
    <t>38</t>
  </si>
  <si>
    <t>155</t>
  </si>
  <si>
    <t>$4,637,058</t>
  </si>
  <si>
    <t>$24,681,213</t>
  </si>
  <si>
    <t>50</t>
  </si>
  <si>
    <t>$12,406,069</t>
  </si>
  <si>
    <t>⚠ Invoice Errors</t>
  </si>
  <si>
    <t>🚚 Delayed Shipments</t>
  </si>
  <si>
    <t>⏳ Pending Payments</t>
  </si>
  <si>
    <t>📦 Inventory Value</t>
  </si>
  <si>
    <t>🏭 Total Suppliers</t>
  </si>
  <si>
    <t>💰 Total Spend</t>
  </si>
  <si>
    <t>Fiscal Year 2025–2026  |  All Warehouses  |  50 Active Suppliers</t>
  </si>
  <si>
    <t>PROCUREMENT &amp; SUPPLY CHAIN DASHBOARD</t>
  </si>
  <si>
    <t>Grand Total / Average</t>
  </si>
  <si>
    <t>High</t>
  </si>
  <si>
    <t>88%</t>
  </si>
  <si>
    <t>Bronze</t>
  </si>
  <si>
    <t>★★★★</t>
  </si>
  <si>
    <t>91%</t>
  </si>
  <si>
    <t>Low</t>
  </si>
  <si>
    <t>97%</t>
  </si>
  <si>
    <t>98%</t>
  </si>
  <si>
    <t>Medium</t>
  </si>
  <si>
    <t>92%</t>
  </si>
  <si>
    <t>99%</t>
  </si>
  <si>
    <t>96%</t>
  </si>
  <si>
    <t>89%</t>
  </si>
  <si>
    <t>93%</t>
  </si>
  <si>
    <t>95%</t>
  </si>
  <si>
    <t>94%</t>
  </si>
  <si>
    <t>★★★★★☆</t>
  </si>
  <si>
    <t>90%</t>
  </si>
  <si>
    <t>Risk Level</t>
  </si>
  <si>
    <t>On-Time Est.</t>
  </si>
  <si>
    <t>Avg Rating</t>
  </si>
  <si>
    <t>SUPPLIER PERFORMANCE DETAIL</t>
  </si>
  <si>
    <t>Procurement Analytics Dashboard  |  FY 2025–2026  |  Auto-generated  |  Confidential</t>
  </si>
  <si>
    <t>★★★★½</t>
  </si>
  <si>
    <t>Lindsey &amp; Sons</t>
  </si>
  <si>
    <t>✓ Active</t>
  </si>
  <si>
    <t>Anderson...</t>
  </si>
  <si>
    <t>Risk</t>
  </si>
  <si>
    <t>On-Time</t>
  </si>
  <si>
    <t>% Total</t>
  </si>
  <si>
    <t>🏭 SUPPLIER PERFORMANCE SUMMARY</t>
  </si>
  <si>
    <t>🏗 WAREHOUSE INVENTORY</t>
  </si>
  <si>
    <t>Aluminum Pl...</t>
  </si>
  <si>
    <t>Months (Orde...</t>
  </si>
  <si>
    <t>Requires Fix</t>
  </si>
  <si>
    <t>Needs Action</t>
  </si>
  <si>
    <t>Avg Rating 4.22</t>
  </si>
  <si>
    <t>38 Invoices</t>
  </si>
  <si>
    <t>155 Shipments</t>
  </si>
  <si>
    <t>50 Active</t>
  </si>
  <si>
    <t>⚠ ERRORS</t>
  </si>
  <si>
    <t>🚚 DELAYED</t>
  </si>
  <si>
    <t>⏳ PENDING</t>
  </si>
  <si>
    <t>📦 INVENTORY</t>
  </si>
  <si>
    <t>🏭 SUPPLIERS</t>
  </si>
  <si>
    <t>💰 TOTAL SPEND</t>
  </si>
  <si>
    <t>FY 2025–2026  |  Real-Time KPIs  |  50 Suppliers  |  5 Warehouses  |  10 Materials</t>
  </si>
  <si>
    <t>PROCUREMENT &amp; SUPPLY CHAIN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</si>
</sst>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8" formatCode="0.0%"/>
    <numFmt numFmtId="169" formatCode="\$#,##0"/>
    <numFmt numFmtId="170" formatCode="\$#,##0.00"/>
    <numFmt numFmtId="171" formatCode="0.0"/>
  </numFmts>
  <fonts count="49" x14ac:knownFonts="1">
    <font>
      <sz val="11"/>
      <color theme="1"/>
      <name val="Aptos Narrow"/>
      <family val="2"/>
      <scheme val="minor"/>
    </font>
    <font>
      <b/>
      <sz val="11"/>
      <color theme="9" tint="-0.499984740745262"/>
      <name val="Aptos Narrow"/>
      <family val="2"/>
      <scheme val="minor"/>
    </font>
    <font>
      <i/>
      <sz val="8"/>
      <color rgb="FF888888"/>
      <name val="Arial"/>
      <family val="2"/>
    </font>
    <font>
      <b/>
      <sz val="12"/>
      <color rgb="FFC0392B"/>
      <name val="Arial"/>
      <family val="2"/>
    </font>
    <font>
      <b/>
      <sz val="8"/>
      <color rgb="FFC0392B"/>
      <name val="Arial"/>
      <family val="2"/>
    </font>
    <font>
      <b/>
      <sz val="9"/>
      <color rgb="FFC0392B"/>
      <name val="Arial"/>
      <family val="2"/>
    </font>
    <font>
      <sz val="9"/>
      <color rgb="FF0D1B2A"/>
      <name val="Arial"/>
      <family val="2"/>
    </font>
    <font>
      <b/>
      <sz val="12"/>
      <color rgb="FF1A7A4A"/>
      <name val="Arial"/>
      <family val="2"/>
    </font>
    <font>
      <b/>
      <sz val="8"/>
      <color rgb="FF1A7A4A"/>
      <name val="Arial"/>
      <family val="2"/>
    </font>
    <font>
      <b/>
      <sz val="9"/>
      <color rgb="FF1A7A4A"/>
      <name val="Arial"/>
      <family val="2"/>
    </font>
    <font>
      <b/>
      <sz val="9"/>
      <color rgb="FFFFFFFF"/>
      <name val="Arial"/>
      <family val="2"/>
    </font>
    <font>
      <b/>
      <sz val="11"/>
      <color rgb="FFFFFFFF"/>
      <name val="Arial"/>
      <family val="2"/>
    </font>
    <font>
      <sz val="8"/>
      <color rgb="FF0D1B2A"/>
      <name val="Arial"/>
      <family val="2"/>
    </font>
    <font>
      <b/>
      <sz val="9"/>
      <color rgb="FF2E6DA4"/>
      <name val="Arial"/>
      <family val="2"/>
    </font>
    <font>
      <b/>
      <sz val="9"/>
      <color rgb="FF0D1B2A"/>
      <name val="Arial"/>
      <family val="2"/>
    </font>
    <font>
      <b/>
      <sz val="8"/>
      <color rgb="FFFFFFFF"/>
      <name val="Arial"/>
      <family val="2"/>
    </font>
    <font>
      <b/>
      <sz val="9"/>
      <color rgb="FF4A90C4"/>
      <name val="Arial"/>
      <family val="2"/>
    </font>
    <font>
      <sz val="8"/>
      <color rgb="FF6C3483"/>
      <name val="Arial"/>
      <family val="2"/>
    </font>
    <font>
      <b/>
      <sz val="10"/>
      <color rgb="FF1B3A5C"/>
      <name val="Arial"/>
      <family val="2"/>
    </font>
    <font>
      <b/>
      <sz val="8"/>
      <color rgb="FFE8A020"/>
      <name val="Arial"/>
      <family val="2"/>
    </font>
    <font>
      <b/>
      <sz val="8"/>
      <color rgb="FF7F8C8D"/>
      <name val="Arial"/>
      <family val="2"/>
    </font>
    <font>
      <sz val="8"/>
      <color rgb="FFE8A020"/>
      <name val="Arial"/>
      <family val="2"/>
    </font>
    <font>
      <sz val="8"/>
      <color rgb="FF4A90C4"/>
      <name val="Arial"/>
      <family val="2"/>
    </font>
    <font>
      <b/>
      <sz val="8"/>
      <color rgb="FFB7950B"/>
      <name val="Arial"/>
      <family val="2"/>
    </font>
    <font>
      <b/>
      <sz val="8"/>
      <color rgb="FF4A90C4"/>
      <name val="Arial"/>
      <family val="2"/>
    </font>
    <font>
      <i/>
      <sz val="8"/>
      <color rgb="FFBDD7EE"/>
      <name val="Arial"/>
      <family val="2"/>
    </font>
    <font>
      <b/>
      <sz val="18"/>
      <color rgb="FFFFFFFF"/>
      <name val="Arial"/>
      <family val="2"/>
    </font>
    <font>
      <sz val="9"/>
      <color rgb="FFC8DCF0"/>
      <name val="Arial"/>
      <family val="2"/>
    </font>
    <font>
      <i/>
      <sz val="10"/>
      <color rgb="FFA0B8D0"/>
      <name val="Arial"/>
      <family val="2"/>
    </font>
    <font>
      <b/>
      <sz val="10"/>
      <color rgb="FFFFFFFF"/>
      <name val="Arial"/>
      <family val="2"/>
    </font>
    <font>
      <b/>
      <sz val="9"/>
      <color rgb="FFA04000"/>
      <name val="Arial"/>
      <family val="2"/>
    </font>
    <font>
      <sz val="9"/>
      <color rgb="FFE8A020"/>
      <name val="Arial"/>
      <family val="2"/>
    </font>
    <font>
      <b/>
      <sz val="10"/>
      <color rgb="FFE8A020"/>
      <name val="Arial"/>
      <family val="2"/>
    </font>
    <font>
      <b/>
      <sz val="9"/>
      <color rgb="FFB7950B"/>
      <name val="Arial"/>
      <family val="2"/>
    </font>
    <font>
      <b/>
      <sz val="10"/>
      <color rgb="FF1A7A4A"/>
      <name val="Arial"/>
      <family val="2"/>
    </font>
    <font>
      <b/>
      <sz val="9"/>
      <color rgb="FFE8A020"/>
      <name val="Arial"/>
      <family val="2"/>
    </font>
    <font>
      <b/>
      <sz val="9"/>
      <color rgb="FF7F8C8D"/>
      <name val="Arial"/>
      <family val="2"/>
    </font>
    <font>
      <b/>
      <sz val="14"/>
      <color rgb="FFFFFFFF"/>
      <name val="Arial"/>
      <family val="2"/>
    </font>
    <font>
      <i/>
      <sz val="8"/>
      <color rgb="FF999999"/>
      <name val="Arial"/>
      <family val="2"/>
    </font>
    <font>
      <b/>
      <sz val="9"/>
      <color rgb="FF1E8449"/>
      <name val="Arial"/>
      <family val="2"/>
    </font>
    <font>
      <b/>
      <sz val="9"/>
      <color rgb="FF2E86C1"/>
      <name val="Arial"/>
      <family val="2"/>
    </font>
    <font>
      <sz val="9"/>
      <color rgb="FF7D3C98"/>
      <name val="Arial"/>
      <family val="2"/>
    </font>
    <font>
      <sz val="9"/>
      <color rgb="FF1F6AA5"/>
      <name val="Arial"/>
      <family val="2"/>
    </font>
    <font>
      <sz val="9"/>
      <color rgb="FF884400"/>
      <name val="Arial"/>
      <family val="2"/>
    </font>
    <font>
      <sz val="9"/>
      <color rgb="FF148F77"/>
      <name val="Arial"/>
      <family val="2"/>
    </font>
    <font>
      <i/>
      <sz val="8"/>
      <color rgb="FFC8DCF0"/>
      <name val="Arial"/>
      <family val="2"/>
    </font>
    <font>
      <sz val="8"/>
      <color rgb="FFBDD7EE"/>
      <name val="Arial"/>
      <family val="2"/>
    </font>
    <font>
      <i/>
      <sz val="9"/>
      <color rgb="FFA0C4E8"/>
      <name val="Arial"/>
      <family val="2"/>
    </font>
    <font>
      <b/>
      <sz val="16"/>
      <color rgb="FFFFFFFF"/>
      <name val="Arial"/>
      <family val="2"/>
    </font>
  </fonts>
  <fills count="33">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rgb="FFF8F9FA"/>
      </patternFill>
    </fill>
    <fill>
      <patternFill patternType="solid">
        <fgColor rgb="FFFFFFFF"/>
      </patternFill>
    </fill>
    <fill>
      <patternFill patternType="solid">
        <fgColor rgb="FFF0F6FC"/>
      </patternFill>
    </fill>
    <fill>
      <patternFill patternType="solid">
        <fgColor rgb="FFD6E8F7"/>
      </patternFill>
    </fill>
    <fill>
      <patternFill patternType="solid">
        <fgColor rgb="FFC0392B"/>
      </patternFill>
    </fill>
    <fill>
      <patternFill patternType="solid">
        <fgColor rgb="FF1B3A5C"/>
      </patternFill>
    </fill>
    <fill>
      <patternFill patternType="solid">
        <fgColor rgb="FFFDEDEC"/>
      </patternFill>
    </fill>
    <fill>
      <patternFill patternType="solid">
        <fgColor rgb="FFFEF9E7"/>
      </patternFill>
    </fill>
    <fill>
      <patternFill patternType="solid">
        <fgColor rgb="FFE9F7EF"/>
      </patternFill>
    </fill>
    <fill>
      <patternFill patternType="solid">
        <fgColor rgb="FFEAF4FB"/>
      </patternFill>
    </fill>
    <fill>
      <patternFill patternType="solid">
        <fgColor rgb="FFE8F4FD"/>
      </patternFill>
    </fill>
    <fill>
      <patternFill patternType="solid">
        <fgColor rgb="FF2E6DA4"/>
      </patternFill>
    </fill>
    <fill>
      <patternFill patternType="solid">
        <fgColor rgb="FF148F77"/>
      </patternFill>
    </fill>
    <fill>
      <patternFill patternType="solid">
        <fgColor rgb="FFF0F3F4"/>
      </patternFill>
    </fill>
    <fill>
      <patternFill patternType="solid">
        <fgColor rgb="FFD5F5E3"/>
      </patternFill>
    </fill>
    <fill>
      <patternFill patternType="solid">
        <fgColor rgb="FFE8DAEF"/>
      </patternFill>
    </fill>
    <fill>
      <patternFill patternType="solid">
        <fgColor rgb="FFD6EAF8"/>
      </patternFill>
    </fill>
    <fill>
      <patternFill patternType="solid">
        <fgColor rgb="FF6C3483"/>
      </patternFill>
    </fill>
    <fill>
      <patternFill patternType="solid">
        <fgColor rgb="FF7D3C98"/>
      </patternFill>
    </fill>
    <fill>
      <patternFill patternType="solid">
        <fgColor rgb="FFF5F5F5"/>
      </patternFill>
    </fill>
    <fill>
      <patternFill patternType="solid">
        <fgColor rgb="FFE8A020"/>
      </patternFill>
    </fill>
    <fill>
      <patternFill patternType="solid">
        <fgColor rgb="FF0D1B2A"/>
      </patternFill>
    </fill>
    <fill>
      <patternFill patternType="solid">
        <fgColor rgb="FFFDEBD0"/>
      </patternFill>
    </fill>
    <fill>
      <patternFill patternType="solid">
        <fgColor rgb="FFEBF5FB"/>
      </patternFill>
    </fill>
    <fill>
      <patternFill patternType="solid">
        <fgColor rgb="FF1F6AA5"/>
      </patternFill>
    </fill>
    <fill>
      <patternFill patternType="solid">
        <fgColor rgb="FFEDE7F6"/>
      </patternFill>
    </fill>
    <fill>
      <patternFill patternType="solid">
        <fgColor rgb="FFE67E22"/>
      </patternFill>
    </fill>
    <fill>
      <patternFill patternType="solid">
        <fgColor rgb="FFD1F2EB"/>
      </patternFill>
    </fill>
    <fill>
      <patternFill patternType="solid">
        <fgColor rgb="FF1A5276"/>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rgb="FFBBCCE0"/>
      </left>
      <right style="thin">
        <color rgb="FFBBCCE0"/>
      </right>
      <top style="thin">
        <color rgb="FFBBCCE0"/>
      </top>
      <bottom style="thin">
        <color rgb="FFBBCCE0"/>
      </bottom>
      <diagonal/>
    </border>
    <border>
      <left style="thin">
        <color rgb="FF7D3C98"/>
      </left>
      <right style="thin">
        <color rgb="FF7D3C98"/>
      </right>
      <top style="thin">
        <color rgb="FF7D3C98"/>
      </top>
      <bottom style="thin">
        <color rgb="FF7D3C98"/>
      </bottom>
      <diagonal/>
    </border>
    <border>
      <left style="thin">
        <color rgb="FFE8A020"/>
      </left>
      <right style="thin">
        <color rgb="FFE8A020"/>
      </right>
      <top style="thin">
        <color rgb="FFE8A020"/>
      </top>
      <bottom style="thin">
        <color rgb="FFE8A020"/>
      </bottom>
      <diagonal/>
    </border>
    <border>
      <left style="thin">
        <color rgb="FFC0392B"/>
      </left>
      <right style="thin">
        <color rgb="FFC0392B"/>
      </right>
      <top style="thin">
        <color rgb="FFC0392B"/>
      </top>
      <bottom style="thin">
        <color rgb="FFC0392B"/>
      </bottom>
      <diagonal/>
    </border>
    <border>
      <left style="thin">
        <color rgb="FF148F77"/>
      </left>
      <right style="thin">
        <color rgb="FF148F77"/>
      </right>
      <top style="thin">
        <color rgb="FF148F77"/>
      </top>
      <bottom style="thin">
        <color rgb="FF148F77"/>
      </bottom>
      <diagonal/>
    </border>
    <border>
      <left style="thin">
        <color rgb="FF6C3483"/>
      </left>
      <right style="thin">
        <color rgb="FF6C3483"/>
      </right>
      <top style="thin">
        <color rgb="FF6C3483"/>
      </top>
      <bottom style="thin">
        <color rgb="FF6C3483"/>
      </bottom>
      <diagonal/>
    </border>
    <border>
      <left style="thin">
        <color rgb="FF1B3A5C"/>
      </left>
      <right style="thin">
        <color rgb="FF1B3A5C"/>
      </right>
      <top style="thin">
        <color rgb="FF1B3A5C"/>
      </top>
      <bottom style="thin">
        <color rgb="FF1B3A5C"/>
      </bottom>
      <diagonal/>
    </border>
    <border>
      <left/>
      <right style="thin">
        <color rgb="FF7D3C98"/>
      </right>
      <top style="thin">
        <color rgb="FF7D3C98"/>
      </top>
      <bottom style="thin">
        <color rgb="FF7D3C98"/>
      </bottom>
      <diagonal/>
    </border>
    <border>
      <left/>
      <right style="thin">
        <color rgb="FFE8A020"/>
      </right>
      <top style="thin">
        <color rgb="FFE8A020"/>
      </top>
      <bottom style="thin">
        <color rgb="FFE8A020"/>
      </bottom>
      <diagonal/>
    </border>
    <border>
      <left/>
      <right style="thin">
        <color rgb="FFC0392B"/>
      </right>
      <top style="thin">
        <color rgb="FFC0392B"/>
      </top>
      <bottom style="thin">
        <color rgb="FFC0392B"/>
      </bottom>
      <diagonal/>
    </border>
    <border>
      <left/>
      <right style="thin">
        <color rgb="FF148F77"/>
      </right>
      <top style="thin">
        <color rgb="FF148F77"/>
      </top>
      <bottom style="thin">
        <color rgb="FF148F77"/>
      </bottom>
      <diagonal/>
    </border>
    <border>
      <left/>
      <right style="thin">
        <color rgb="FF6C3483"/>
      </right>
      <top style="thin">
        <color rgb="FF6C3483"/>
      </top>
      <bottom style="thin">
        <color rgb="FF6C3483"/>
      </bottom>
      <diagonal/>
    </border>
    <border>
      <left/>
      <right style="thin">
        <color rgb="FF1B3A5C"/>
      </right>
      <top style="thin">
        <color rgb="FF1B3A5C"/>
      </top>
      <bottom style="thin">
        <color rgb="FF1B3A5C"/>
      </bottom>
      <diagonal/>
    </border>
    <border>
      <left/>
      <right style="thin">
        <color rgb="FF7D3C98"/>
      </right>
      <top/>
      <bottom style="thin">
        <color rgb="FF7D3C98"/>
      </bottom>
      <diagonal/>
    </border>
    <border>
      <left style="thin">
        <color rgb="FF7D3C98"/>
      </left>
      <right/>
      <top/>
      <bottom style="thin">
        <color rgb="FF7D3C98"/>
      </bottom>
      <diagonal/>
    </border>
    <border>
      <left/>
      <right style="thin">
        <color rgb="FFE8A020"/>
      </right>
      <top/>
      <bottom style="thin">
        <color rgb="FFE8A020"/>
      </bottom>
      <diagonal/>
    </border>
    <border>
      <left style="thin">
        <color rgb="FFE8A020"/>
      </left>
      <right/>
      <top/>
      <bottom style="thin">
        <color rgb="FFE8A020"/>
      </bottom>
      <diagonal/>
    </border>
    <border>
      <left/>
      <right style="thin">
        <color rgb="FFC0392B"/>
      </right>
      <top/>
      <bottom style="thin">
        <color rgb="FFC0392B"/>
      </bottom>
      <diagonal/>
    </border>
    <border>
      <left style="thin">
        <color rgb="FFC0392B"/>
      </left>
      <right/>
      <top/>
      <bottom style="thin">
        <color rgb="FFC0392B"/>
      </bottom>
      <diagonal/>
    </border>
    <border>
      <left/>
      <right style="thin">
        <color rgb="FF148F77"/>
      </right>
      <top/>
      <bottom style="thin">
        <color rgb="FF148F77"/>
      </bottom>
      <diagonal/>
    </border>
    <border>
      <left style="thin">
        <color rgb="FF148F77"/>
      </left>
      <right/>
      <top/>
      <bottom style="thin">
        <color rgb="FF148F77"/>
      </bottom>
      <diagonal/>
    </border>
    <border>
      <left/>
      <right style="thin">
        <color rgb="FF6C3483"/>
      </right>
      <top/>
      <bottom style="thin">
        <color rgb="FF6C3483"/>
      </bottom>
      <diagonal/>
    </border>
    <border>
      <left style="thin">
        <color rgb="FF6C3483"/>
      </left>
      <right/>
      <top/>
      <bottom style="thin">
        <color rgb="FF6C3483"/>
      </bottom>
      <diagonal/>
    </border>
    <border>
      <left/>
      <right style="thin">
        <color rgb="FF1B3A5C"/>
      </right>
      <top/>
      <bottom style="thin">
        <color rgb="FF1B3A5C"/>
      </bottom>
      <diagonal/>
    </border>
    <border>
      <left style="thin">
        <color rgb="FF1B3A5C"/>
      </left>
      <right/>
      <top/>
      <bottom style="thin">
        <color rgb="FF1B3A5C"/>
      </bottom>
      <diagonal/>
    </border>
    <border>
      <left/>
      <right style="thin">
        <color rgb="FF7D3C98"/>
      </right>
      <top style="thin">
        <color rgb="FF7D3C98"/>
      </top>
      <bottom/>
      <diagonal/>
    </border>
    <border>
      <left/>
      <right style="thin">
        <color rgb="FFE8A020"/>
      </right>
      <top style="thin">
        <color rgb="FFE8A020"/>
      </top>
      <bottom/>
      <diagonal/>
    </border>
    <border>
      <left/>
      <right style="thin">
        <color rgb="FFC0392B"/>
      </right>
      <top style="thin">
        <color rgb="FFC0392B"/>
      </top>
      <bottom/>
      <diagonal/>
    </border>
    <border>
      <left/>
      <right style="thin">
        <color rgb="FF148F77"/>
      </right>
      <top style="thin">
        <color rgb="FF148F77"/>
      </top>
      <bottom/>
      <diagonal/>
    </border>
    <border>
      <left/>
      <right style="thin">
        <color rgb="FF6C3483"/>
      </right>
      <top style="thin">
        <color rgb="FF6C3483"/>
      </top>
      <bottom/>
      <diagonal/>
    </border>
    <border>
      <left/>
      <right style="thin">
        <color rgb="FF1B3A5C"/>
      </right>
      <top style="thin">
        <color rgb="FF1B3A5C"/>
      </top>
      <bottom/>
      <diagonal/>
    </border>
    <border>
      <left style="thin">
        <color rgb="FFCCCCCC"/>
      </left>
      <right style="thin">
        <color rgb="FFCCCCCC"/>
      </right>
      <top style="thin">
        <color rgb="FFCCCCCC"/>
      </top>
      <bottom style="thin">
        <color rgb="FFCCCCCC"/>
      </bottom>
      <diagonal/>
    </border>
    <border>
      <left style="thin">
        <color rgb="FFAAAAAA"/>
      </left>
      <right style="thin">
        <color rgb="FFAAAAAA"/>
      </right>
      <top style="thin">
        <color rgb="FFAAAAAA"/>
      </top>
      <bottom style="thin">
        <color rgb="FFAAAAAA"/>
      </bottom>
      <diagonal/>
    </border>
    <border>
      <left style="thin">
        <color rgb="FFE67E22"/>
      </left>
      <right style="thin">
        <color rgb="FFE67E22"/>
      </right>
      <top style="thin">
        <color rgb="FFE67E22"/>
      </top>
      <bottom style="thin">
        <color rgb="FFE67E22"/>
      </bottom>
      <diagonal/>
    </border>
    <border>
      <left style="thin">
        <color rgb="FF1F6AA5"/>
      </left>
      <right style="thin">
        <color rgb="FF1F6AA5"/>
      </right>
      <top style="thin">
        <color rgb="FF1F6AA5"/>
      </top>
      <bottom style="thin">
        <color rgb="FF1F6AA5"/>
      </bottom>
      <diagonal/>
    </border>
  </borders>
  <cellStyleXfs count="1">
    <xf numFmtId="0" fontId="0" fillId="0" borderId="0"/>
  </cellStyleXfs>
  <cellXfs count="302">
    <xf numFmtId="0" fontId="0" fillId="0" borderId="0" xfId="0"/>
    <xf numFmtId="0" fontId="0" fillId="0" borderId="0" xfId="0" applyNumberFormat="1"/>
    <xf numFmtId="14" fontId="0" fillId="0" borderId="0" xfId="0" applyNumberFormat="1"/>
    <xf numFmtId="0" fontId="0" fillId="0" borderId="1" xfId="0" applyBorder="1"/>
    <xf numFmtId="0" fontId="0" fillId="0" borderId="0" xfId="0" pivotButton="1"/>
    <xf numFmtId="0" fontId="0" fillId="0" borderId="0" xfId="0" applyAlignment="1">
      <alignment horizontal="left"/>
    </xf>
    <xf numFmtId="0" fontId="0" fillId="2" borderId="0" xfId="0" applyFill="1"/>
    <xf numFmtId="0" fontId="0" fillId="2" borderId="1" xfId="0" applyFill="1" applyBorder="1"/>
    <xf numFmtId="22" fontId="0" fillId="0" borderId="0" xfId="0" applyNumberFormat="1"/>
    <xf numFmtId="10" fontId="0" fillId="0" borderId="0" xfId="0" applyNumberFormat="1"/>
    <xf numFmtId="0" fontId="1" fillId="3" borderId="1" xfId="0" applyFont="1" applyFill="1" applyBorder="1"/>
    <xf numFmtId="0" fontId="1" fillId="3" borderId="1" xfId="0" applyFont="1" applyFill="1" applyBorder="1" applyAlignment="1">
      <alignment horizontal="center" vertical="center" wrapText="1"/>
    </xf>
    <xf numFmtId="0" fontId="0" fillId="0" borderId="0" xfId="0"/>
    <xf numFmtId="0" fontId="2" fillId="4" borderId="0" xfId="0" applyFont="1" applyFill="1" applyAlignment="1">
      <alignment horizontal="center" vertical="center"/>
    </xf>
    <xf numFmtId="0" fontId="3" fillId="5" borderId="2" xfId="0" applyFont="1" applyFill="1" applyBorder="1" applyAlignment="1">
      <alignment horizontal="center" vertical="center"/>
    </xf>
    <xf numFmtId="0" fontId="4" fillId="5" borderId="2" xfId="0" applyFont="1" applyFill="1" applyBorder="1" applyAlignment="1">
      <alignment horizontal="center" vertical="center"/>
    </xf>
    <xf numFmtId="168" fontId="5" fillId="5" borderId="2" xfId="0" applyNumberFormat="1" applyFont="1" applyFill="1" applyBorder="1" applyAlignment="1">
      <alignment horizontal="center" vertical="center"/>
    </xf>
    <xf numFmtId="169" fontId="5" fillId="5" borderId="2" xfId="0" applyNumberFormat="1" applyFont="1" applyFill="1" applyBorder="1" applyAlignment="1">
      <alignment horizontal="right" vertical="center"/>
    </xf>
    <xf numFmtId="169" fontId="6" fillId="5" borderId="2" xfId="0" applyNumberFormat="1" applyFont="1" applyFill="1" applyBorder="1" applyAlignment="1">
      <alignment horizontal="right" vertical="center"/>
    </xf>
    <xf numFmtId="0" fontId="6" fillId="5" borderId="2" xfId="0" applyFont="1" applyFill="1" applyBorder="1" applyAlignment="1">
      <alignment horizontal="center" vertical="center"/>
    </xf>
    <xf numFmtId="0" fontId="3" fillId="6" borderId="2" xfId="0" applyFont="1" applyFill="1" applyBorder="1" applyAlignment="1">
      <alignment horizontal="center" vertical="center"/>
    </xf>
    <xf numFmtId="0" fontId="4" fillId="6" borderId="2" xfId="0" applyFont="1" applyFill="1" applyBorder="1" applyAlignment="1">
      <alignment horizontal="center" vertical="center"/>
    </xf>
    <xf numFmtId="168" fontId="5" fillId="6" borderId="2" xfId="0" applyNumberFormat="1" applyFont="1" applyFill="1" applyBorder="1" applyAlignment="1">
      <alignment horizontal="center" vertical="center"/>
    </xf>
    <xf numFmtId="169" fontId="5" fillId="7" borderId="2" xfId="0" applyNumberFormat="1" applyFont="1" applyFill="1" applyBorder="1" applyAlignment="1">
      <alignment horizontal="right" vertical="center"/>
    </xf>
    <xf numFmtId="169" fontId="6" fillId="6" borderId="2" xfId="0" applyNumberFormat="1" applyFont="1" applyFill="1" applyBorder="1" applyAlignment="1">
      <alignment horizontal="right" vertical="center"/>
    </xf>
    <xf numFmtId="0" fontId="6" fillId="6" borderId="2" xfId="0" applyFont="1" applyFill="1" applyBorder="1" applyAlignment="1">
      <alignment horizontal="center" vertical="center"/>
    </xf>
    <xf numFmtId="0" fontId="7" fillId="6" borderId="2" xfId="0" applyFont="1" applyFill="1" applyBorder="1" applyAlignment="1">
      <alignment horizontal="center" vertical="center"/>
    </xf>
    <xf numFmtId="0" fontId="8" fillId="6" borderId="2" xfId="0" applyFont="1" applyFill="1" applyBorder="1" applyAlignment="1">
      <alignment horizontal="center" vertical="center"/>
    </xf>
    <xf numFmtId="168" fontId="9" fillId="6" borderId="2" xfId="0" applyNumberFormat="1" applyFont="1" applyFill="1" applyBorder="1" applyAlignment="1">
      <alignment horizontal="center" vertical="center"/>
    </xf>
    <xf numFmtId="169" fontId="9" fillId="7" borderId="2" xfId="0" applyNumberFormat="1" applyFont="1" applyFill="1" applyBorder="1" applyAlignment="1">
      <alignment horizontal="right" vertical="center"/>
    </xf>
    <xf numFmtId="0" fontId="7" fillId="5" borderId="2" xfId="0" applyFont="1" applyFill="1" applyBorder="1" applyAlignment="1">
      <alignment horizontal="center" vertical="center"/>
    </xf>
    <xf numFmtId="0" fontId="8" fillId="5" borderId="2" xfId="0" applyFont="1" applyFill="1" applyBorder="1" applyAlignment="1">
      <alignment horizontal="center" vertical="center"/>
    </xf>
    <xf numFmtId="168" fontId="9" fillId="5" borderId="2" xfId="0" applyNumberFormat="1" applyFont="1" applyFill="1" applyBorder="1" applyAlignment="1">
      <alignment horizontal="center" vertical="center"/>
    </xf>
    <xf numFmtId="169" fontId="9" fillId="5" borderId="2" xfId="0" applyNumberFormat="1" applyFont="1" applyFill="1" applyBorder="1" applyAlignment="1">
      <alignment horizontal="right" vertical="center"/>
    </xf>
    <xf numFmtId="0" fontId="10" fillId="8" borderId="2" xfId="0" applyFont="1" applyFill="1" applyBorder="1" applyAlignment="1">
      <alignment horizontal="center" vertical="center"/>
    </xf>
    <xf numFmtId="0" fontId="11" fillId="8" borderId="0" xfId="0" applyFont="1" applyFill="1" applyAlignment="1">
      <alignment horizontal="center" vertical="center"/>
    </xf>
    <xf numFmtId="3" fontId="10" fillId="9" borderId="2" xfId="0" applyNumberFormat="1" applyFont="1" applyFill="1" applyBorder="1" applyAlignment="1">
      <alignment horizontal="center" vertical="center"/>
    </xf>
    <xf numFmtId="0" fontId="10" fillId="9" borderId="2" xfId="0" applyFont="1" applyFill="1" applyBorder="1" applyAlignment="1">
      <alignment horizontal="center" vertical="center"/>
    </xf>
    <xf numFmtId="169" fontId="10" fillId="9" borderId="2" xfId="0" applyNumberFormat="1" applyFont="1" applyFill="1" applyBorder="1" applyAlignment="1">
      <alignment horizontal="right" vertical="center"/>
    </xf>
    <xf numFmtId="3" fontId="12" fillId="10" borderId="2" xfId="0" applyNumberFormat="1" applyFont="1" applyFill="1" applyBorder="1" applyAlignment="1">
      <alignment horizontal="center" vertical="center"/>
    </xf>
    <xf numFmtId="0" fontId="13" fillId="10" borderId="2" xfId="0" applyFont="1" applyFill="1" applyBorder="1" applyAlignment="1">
      <alignment horizontal="center" vertical="center"/>
    </xf>
    <xf numFmtId="169" fontId="6" fillId="10" borderId="2" xfId="0" applyNumberFormat="1" applyFont="1" applyFill="1" applyBorder="1" applyAlignment="1">
      <alignment horizontal="right" vertical="center"/>
    </xf>
    <xf numFmtId="3" fontId="6" fillId="10" borderId="2" xfId="0" applyNumberFormat="1" applyFont="1" applyFill="1" applyBorder="1" applyAlignment="1">
      <alignment horizontal="center" vertical="center"/>
    </xf>
    <xf numFmtId="0" fontId="14" fillId="10" borderId="2" xfId="0" applyFont="1" applyFill="1" applyBorder="1"/>
    <xf numFmtId="3" fontId="12" fillId="11" borderId="2" xfId="0" applyNumberFormat="1" applyFont="1" applyFill="1" applyBorder="1" applyAlignment="1">
      <alignment horizontal="center" vertical="center"/>
    </xf>
    <xf numFmtId="0" fontId="13" fillId="11" borderId="2" xfId="0" applyFont="1" applyFill="1" applyBorder="1" applyAlignment="1">
      <alignment horizontal="center" vertical="center"/>
    </xf>
    <xf numFmtId="169" fontId="6" fillId="11" borderId="2" xfId="0" applyNumberFormat="1" applyFont="1" applyFill="1" applyBorder="1" applyAlignment="1">
      <alignment horizontal="right" vertical="center"/>
    </xf>
    <xf numFmtId="3" fontId="6" fillId="11" borderId="2" xfId="0" applyNumberFormat="1" applyFont="1" applyFill="1" applyBorder="1" applyAlignment="1">
      <alignment horizontal="center" vertical="center"/>
    </xf>
    <xf numFmtId="0" fontId="14" fillId="11" borderId="2" xfId="0" applyFont="1" applyFill="1" applyBorder="1"/>
    <xf numFmtId="3" fontId="12" fillId="12" borderId="2" xfId="0" applyNumberFormat="1" applyFont="1" applyFill="1" applyBorder="1" applyAlignment="1">
      <alignment horizontal="center" vertical="center"/>
    </xf>
    <xf numFmtId="0" fontId="13" fillId="12" borderId="2" xfId="0" applyFont="1" applyFill="1" applyBorder="1" applyAlignment="1">
      <alignment horizontal="center" vertical="center"/>
    </xf>
    <xf numFmtId="169" fontId="6" fillId="12" borderId="2" xfId="0" applyNumberFormat="1" applyFont="1" applyFill="1" applyBorder="1" applyAlignment="1">
      <alignment horizontal="right" vertical="center"/>
    </xf>
    <xf numFmtId="3" fontId="6" fillId="12" borderId="2" xfId="0" applyNumberFormat="1" applyFont="1" applyFill="1" applyBorder="1" applyAlignment="1">
      <alignment horizontal="center" vertical="center"/>
    </xf>
    <xf numFmtId="0" fontId="14" fillId="12" borderId="2" xfId="0" applyFont="1" applyFill="1" applyBorder="1"/>
    <xf numFmtId="3" fontId="12" fillId="13" borderId="2" xfId="0" applyNumberFormat="1" applyFont="1" applyFill="1" applyBorder="1" applyAlignment="1">
      <alignment horizontal="center" vertical="center"/>
    </xf>
    <xf numFmtId="0" fontId="13" fillId="13" borderId="2" xfId="0" applyFont="1" applyFill="1" applyBorder="1" applyAlignment="1">
      <alignment horizontal="center" vertical="center"/>
    </xf>
    <xf numFmtId="169" fontId="6" fillId="13" borderId="2" xfId="0" applyNumberFormat="1" applyFont="1" applyFill="1" applyBorder="1" applyAlignment="1">
      <alignment horizontal="right" vertical="center"/>
    </xf>
    <xf numFmtId="3" fontId="6" fillId="13" borderId="2" xfId="0" applyNumberFormat="1" applyFont="1" applyFill="1" applyBorder="1" applyAlignment="1">
      <alignment horizontal="center" vertical="center"/>
    </xf>
    <xf numFmtId="0" fontId="14" fillId="13" borderId="2" xfId="0" applyFont="1" applyFill="1" applyBorder="1"/>
    <xf numFmtId="3" fontId="12" fillId="14" borderId="2" xfId="0" applyNumberFormat="1" applyFont="1" applyFill="1" applyBorder="1" applyAlignment="1">
      <alignment horizontal="center" vertical="center"/>
    </xf>
    <xf numFmtId="0" fontId="13" fillId="14" borderId="2" xfId="0" applyFont="1" applyFill="1" applyBorder="1" applyAlignment="1">
      <alignment horizontal="center" vertical="center"/>
    </xf>
    <xf numFmtId="169" fontId="6" fillId="14" borderId="2" xfId="0" applyNumberFormat="1" applyFont="1" applyFill="1" applyBorder="1" applyAlignment="1">
      <alignment horizontal="right" vertical="center"/>
    </xf>
    <xf numFmtId="3" fontId="6" fillId="14" borderId="2" xfId="0" applyNumberFormat="1" applyFont="1" applyFill="1" applyBorder="1" applyAlignment="1">
      <alignment horizontal="center" vertical="center"/>
    </xf>
    <xf numFmtId="0" fontId="14" fillId="14" borderId="2" xfId="0" applyFont="1" applyFill="1" applyBorder="1"/>
    <xf numFmtId="0" fontId="15" fillId="15" borderId="2" xfId="0" applyFont="1" applyFill="1" applyBorder="1" applyAlignment="1">
      <alignment horizontal="center" vertical="center"/>
    </xf>
    <xf numFmtId="0" fontId="11" fillId="9" borderId="0" xfId="0" applyFont="1" applyFill="1" applyAlignment="1">
      <alignment horizontal="center" vertical="center"/>
    </xf>
    <xf numFmtId="0" fontId="0" fillId="16" borderId="2" xfId="0" applyFill="1" applyBorder="1"/>
    <xf numFmtId="3" fontId="10" fillId="16" borderId="2" xfId="0" applyNumberFormat="1" applyFont="1" applyFill="1" applyBorder="1" applyAlignment="1">
      <alignment horizontal="center" vertical="center"/>
    </xf>
    <xf numFmtId="168" fontId="10" fillId="16" borderId="2" xfId="0" applyNumberFormat="1" applyFont="1" applyFill="1" applyBorder="1" applyAlignment="1">
      <alignment horizontal="center" vertical="center"/>
    </xf>
    <xf numFmtId="169" fontId="10" fillId="16" borderId="2" xfId="0" applyNumberFormat="1" applyFont="1" applyFill="1" applyBorder="1" applyAlignment="1">
      <alignment horizontal="right" vertical="center"/>
    </xf>
    <xf numFmtId="0" fontId="10" fillId="16" borderId="2" xfId="0" applyFont="1" applyFill="1" applyBorder="1" applyAlignment="1">
      <alignment horizontal="center" vertical="center"/>
    </xf>
    <xf numFmtId="0" fontId="16" fillId="5" borderId="2" xfId="0" applyFont="1" applyFill="1" applyBorder="1" applyAlignment="1">
      <alignment horizontal="center" vertical="center"/>
    </xf>
    <xf numFmtId="170" fontId="6" fillId="5" borderId="2" xfId="0" applyNumberFormat="1" applyFont="1" applyFill="1" applyBorder="1" applyAlignment="1">
      <alignment horizontal="right" vertical="center"/>
    </xf>
    <xf numFmtId="3" fontId="6" fillId="5" borderId="2" xfId="0" applyNumberFormat="1" applyFont="1" applyFill="1" applyBorder="1" applyAlignment="1">
      <alignment horizontal="center" vertical="center"/>
    </xf>
    <xf numFmtId="168" fontId="6" fillId="5" borderId="2" xfId="0" applyNumberFormat="1" applyFont="1" applyFill="1" applyBorder="1" applyAlignment="1">
      <alignment horizontal="center" vertical="center"/>
    </xf>
    <xf numFmtId="0" fontId="6" fillId="5" borderId="2" xfId="0" applyFont="1" applyFill="1" applyBorder="1"/>
    <xf numFmtId="0" fontId="16" fillId="6" borderId="2" xfId="0" applyFont="1" applyFill="1" applyBorder="1" applyAlignment="1">
      <alignment horizontal="center" vertical="center"/>
    </xf>
    <xf numFmtId="170" fontId="6" fillId="6" borderId="2" xfId="0" applyNumberFormat="1" applyFont="1" applyFill="1" applyBorder="1" applyAlignment="1">
      <alignment horizontal="right" vertical="center"/>
    </xf>
    <xf numFmtId="3" fontId="6" fillId="6" borderId="2" xfId="0" applyNumberFormat="1" applyFont="1" applyFill="1" applyBorder="1" applyAlignment="1">
      <alignment horizontal="center" vertical="center"/>
    </xf>
    <xf numFmtId="168" fontId="6" fillId="6" borderId="2" xfId="0" applyNumberFormat="1" applyFont="1" applyFill="1" applyBorder="1" applyAlignment="1">
      <alignment horizontal="center" vertical="center"/>
    </xf>
    <xf numFmtId="0" fontId="6" fillId="6" borderId="2" xfId="0" applyFont="1" applyFill="1" applyBorder="1"/>
    <xf numFmtId="0" fontId="4" fillId="17" borderId="2" xfId="0" applyFont="1" applyFill="1" applyBorder="1" applyAlignment="1">
      <alignment horizontal="center" vertical="center"/>
    </xf>
    <xf numFmtId="0" fontId="17" fillId="17" borderId="2" xfId="0" applyFont="1" applyFill="1" applyBorder="1"/>
    <xf numFmtId="169" fontId="6" fillId="17" borderId="2" xfId="0" applyNumberFormat="1" applyFont="1" applyFill="1" applyBorder="1" applyAlignment="1">
      <alignment horizontal="right" vertical="center"/>
    </xf>
    <xf numFmtId="10" fontId="18" fillId="17" borderId="2" xfId="0" applyNumberFormat="1" applyFont="1" applyFill="1" applyBorder="1" applyAlignment="1">
      <alignment horizontal="center" vertical="center"/>
    </xf>
    <xf numFmtId="0" fontId="6" fillId="17" borderId="2" xfId="0" applyFont="1" applyFill="1" applyBorder="1"/>
    <xf numFmtId="0" fontId="8" fillId="10" borderId="2" xfId="0" applyFont="1" applyFill="1" applyBorder="1" applyAlignment="1">
      <alignment horizontal="center" vertical="center"/>
    </xf>
    <xf numFmtId="0" fontId="17" fillId="10" borderId="2" xfId="0" applyFont="1" applyFill="1" applyBorder="1"/>
    <xf numFmtId="10" fontId="18" fillId="10" borderId="2" xfId="0" applyNumberFormat="1" applyFont="1" applyFill="1" applyBorder="1" applyAlignment="1">
      <alignment horizontal="center" vertical="center"/>
    </xf>
    <xf numFmtId="0" fontId="6" fillId="10" borderId="2" xfId="0" applyFont="1" applyFill="1" applyBorder="1"/>
    <xf numFmtId="0" fontId="8" fillId="11" borderId="2" xfId="0" applyFont="1" applyFill="1" applyBorder="1" applyAlignment="1">
      <alignment horizontal="center" vertical="center"/>
    </xf>
    <xf numFmtId="0" fontId="17" fillId="11" borderId="2" xfId="0" applyFont="1" applyFill="1" applyBorder="1"/>
    <xf numFmtId="10" fontId="18" fillId="11" borderId="2" xfId="0" applyNumberFormat="1" applyFont="1" applyFill="1" applyBorder="1" applyAlignment="1">
      <alignment horizontal="center" vertical="center"/>
    </xf>
    <xf numFmtId="0" fontId="6" fillId="11" borderId="2" xfId="0" applyFont="1" applyFill="1" applyBorder="1"/>
    <xf numFmtId="0" fontId="19" fillId="18" borderId="2" xfId="0" applyFont="1" applyFill="1" applyBorder="1" applyAlignment="1">
      <alignment horizontal="center" vertical="center"/>
    </xf>
    <xf numFmtId="0" fontId="17" fillId="18" borderId="2" xfId="0" applyFont="1" applyFill="1" applyBorder="1"/>
    <xf numFmtId="169" fontId="6" fillId="18" borderId="2" xfId="0" applyNumberFormat="1" applyFont="1" applyFill="1" applyBorder="1" applyAlignment="1">
      <alignment horizontal="right" vertical="center"/>
    </xf>
    <xf numFmtId="10" fontId="18" fillId="18" borderId="2" xfId="0" applyNumberFormat="1" applyFont="1" applyFill="1" applyBorder="1" applyAlignment="1">
      <alignment horizontal="center" vertical="center"/>
    </xf>
    <xf numFmtId="0" fontId="6" fillId="18" borderId="2" xfId="0" applyFont="1" applyFill="1" applyBorder="1"/>
    <xf numFmtId="0" fontId="8" fillId="19" borderId="2" xfId="0" applyFont="1" applyFill="1" applyBorder="1" applyAlignment="1">
      <alignment horizontal="center" vertical="center"/>
    </xf>
    <xf numFmtId="0" fontId="17" fillId="19" borderId="2" xfId="0" applyFont="1" applyFill="1" applyBorder="1"/>
    <xf numFmtId="169" fontId="6" fillId="19" borderId="2" xfId="0" applyNumberFormat="1" applyFont="1" applyFill="1" applyBorder="1" applyAlignment="1">
      <alignment horizontal="right" vertical="center"/>
    </xf>
    <xf numFmtId="10" fontId="18" fillId="19" borderId="2" xfId="0" applyNumberFormat="1" applyFont="1" applyFill="1" applyBorder="1" applyAlignment="1">
      <alignment horizontal="center" vertical="center"/>
    </xf>
    <xf numFmtId="0" fontId="6" fillId="19" borderId="2" xfId="0" applyFont="1" applyFill="1" applyBorder="1"/>
    <xf numFmtId="0" fontId="8" fillId="20" borderId="2" xfId="0" applyFont="1" applyFill="1" applyBorder="1" applyAlignment="1">
      <alignment horizontal="center" vertical="center"/>
    </xf>
    <xf numFmtId="0" fontId="17" fillId="20" borderId="2" xfId="0" applyFont="1" applyFill="1" applyBorder="1"/>
    <xf numFmtId="169" fontId="6" fillId="20" borderId="2" xfId="0" applyNumberFormat="1" applyFont="1" applyFill="1" applyBorder="1" applyAlignment="1">
      <alignment horizontal="right" vertical="center"/>
    </xf>
    <xf numFmtId="10" fontId="18" fillId="20" borderId="2" xfId="0" applyNumberFormat="1" applyFont="1" applyFill="1" applyBorder="1" applyAlignment="1">
      <alignment horizontal="center" vertical="center"/>
    </xf>
    <xf numFmtId="0" fontId="6" fillId="20" borderId="2" xfId="0" applyFont="1" applyFill="1" applyBorder="1"/>
    <xf numFmtId="0" fontId="10" fillId="21" borderId="2" xfId="0" applyFont="1" applyFill="1" applyBorder="1" applyAlignment="1">
      <alignment horizontal="center" vertical="center"/>
    </xf>
    <xf numFmtId="0" fontId="11" fillId="22" borderId="0" xfId="0" applyFont="1" applyFill="1" applyAlignment="1">
      <alignment horizontal="center" vertical="center"/>
    </xf>
    <xf numFmtId="0" fontId="11" fillId="16" borderId="0" xfId="0" applyFont="1" applyFill="1" applyAlignment="1">
      <alignment horizontal="center" vertical="center"/>
    </xf>
    <xf numFmtId="0" fontId="0" fillId="9" borderId="2" xfId="0" applyFill="1" applyBorder="1"/>
    <xf numFmtId="0" fontId="20" fillId="23" borderId="2" xfId="0" applyFont="1" applyFill="1" applyBorder="1" applyAlignment="1">
      <alignment horizontal="center" vertical="center"/>
    </xf>
    <xf numFmtId="0" fontId="6" fillId="23" borderId="2" xfId="0" applyFont="1" applyFill="1" applyBorder="1" applyAlignment="1">
      <alignment horizontal="center" vertical="center"/>
    </xf>
    <xf numFmtId="0" fontId="21" fillId="23" borderId="2" xfId="0" applyFont="1" applyFill="1" applyBorder="1" applyAlignment="1">
      <alignment horizontal="center" vertical="center"/>
    </xf>
    <xf numFmtId="171" fontId="9" fillId="23" borderId="2" xfId="0" applyNumberFormat="1" applyFont="1" applyFill="1" applyBorder="1" applyAlignment="1">
      <alignment horizontal="center" vertical="center"/>
    </xf>
    <xf numFmtId="0" fontId="12" fillId="23" borderId="2" xfId="0" applyFont="1" applyFill="1" applyBorder="1"/>
    <xf numFmtId="0" fontId="22" fillId="5" borderId="2" xfId="0" applyFont="1" applyFill="1" applyBorder="1"/>
    <xf numFmtId="169" fontId="5" fillId="6" borderId="2" xfId="0" applyNumberFormat="1" applyFont="1" applyFill="1" applyBorder="1" applyAlignment="1">
      <alignment horizontal="right" vertical="center"/>
    </xf>
    <xf numFmtId="0" fontId="22" fillId="6" borderId="2" xfId="0" applyFont="1" applyFill="1" applyBorder="1"/>
    <xf numFmtId="0" fontId="23" fillId="11" borderId="2" xfId="0" applyFont="1" applyFill="1" applyBorder="1" applyAlignment="1">
      <alignment horizontal="center" vertical="center"/>
    </xf>
    <xf numFmtId="0" fontId="6" fillId="11" borderId="2" xfId="0" applyFont="1" applyFill="1" applyBorder="1" applyAlignment="1">
      <alignment horizontal="center" vertical="center"/>
    </xf>
    <xf numFmtId="0" fontId="21" fillId="11" borderId="2" xfId="0" applyFont="1" applyFill="1" applyBorder="1" applyAlignment="1">
      <alignment horizontal="center" vertical="center"/>
    </xf>
    <xf numFmtId="171" fontId="9" fillId="11" borderId="2" xfId="0" applyNumberFormat="1" applyFont="1" applyFill="1" applyBorder="1" applyAlignment="1">
      <alignment horizontal="center" vertical="center"/>
    </xf>
    <xf numFmtId="0" fontId="12" fillId="11" borderId="2" xfId="0" applyFont="1" applyFill="1" applyBorder="1"/>
    <xf numFmtId="0" fontId="24" fillId="14" borderId="2" xfId="0" applyFont="1" applyFill="1" applyBorder="1" applyAlignment="1">
      <alignment horizontal="center" vertical="center"/>
    </xf>
    <xf numFmtId="0" fontId="6" fillId="14" borderId="2" xfId="0" applyFont="1" applyFill="1" applyBorder="1" applyAlignment="1">
      <alignment horizontal="center" vertical="center"/>
    </xf>
    <xf numFmtId="0" fontId="21" fillId="14" borderId="2" xfId="0" applyFont="1" applyFill="1" applyBorder="1" applyAlignment="1">
      <alignment horizontal="center" vertical="center"/>
    </xf>
    <xf numFmtId="171" fontId="9" fillId="14" borderId="2" xfId="0" applyNumberFormat="1" applyFont="1" applyFill="1" applyBorder="1" applyAlignment="1">
      <alignment horizontal="center" vertical="center"/>
    </xf>
    <xf numFmtId="0" fontId="12" fillId="14" borderId="2" xfId="0" applyFont="1" applyFill="1" applyBorder="1"/>
    <xf numFmtId="0" fontId="10" fillId="15" borderId="2" xfId="0" applyFont="1" applyFill="1" applyBorder="1" applyAlignment="1">
      <alignment horizontal="center" vertical="center"/>
    </xf>
    <xf numFmtId="0" fontId="11" fillId="21" borderId="0" xfId="0" applyFont="1" applyFill="1" applyAlignment="1">
      <alignment horizontal="center" vertical="center"/>
    </xf>
    <xf numFmtId="0" fontId="0" fillId="22" borderId="3" xfId="0" applyFill="1" applyBorder="1"/>
    <xf numFmtId="0" fontId="0" fillId="24" borderId="4" xfId="0" applyFill="1" applyBorder="1"/>
    <xf numFmtId="0" fontId="0" fillId="8" borderId="5" xfId="0" applyFill="1" applyBorder="1"/>
    <xf numFmtId="0" fontId="0" fillId="16" borderId="6" xfId="0" applyFill="1" applyBorder="1"/>
    <xf numFmtId="0" fontId="0" fillId="21" borderId="7" xfId="0" applyFill="1" applyBorder="1"/>
    <xf numFmtId="0" fontId="0" fillId="9" borderId="8" xfId="0" applyFill="1" applyBorder="1"/>
    <xf numFmtId="0" fontId="0" fillId="0" borderId="9" xfId="0" applyBorder="1"/>
    <xf numFmtId="0" fontId="25" fillId="22" borderId="3" xfId="0" applyFont="1" applyFill="1" applyBorder="1" applyAlignment="1">
      <alignment horizontal="center" vertical="center"/>
    </xf>
    <xf numFmtId="0" fontId="0" fillId="0" borderId="10" xfId="0" applyBorder="1"/>
    <xf numFmtId="0" fontId="25" fillId="24" borderId="4" xfId="0" applyFont="1" applyFill="1" applyBorder="1" applyAlignment="1">
      <alignment horizontal="center" vertical="center"/>
    </xf>
    <xf numFmtId="0" fontId="0" fillId="0" borderId="11" xfId="0" applyBorder="1"/>
    <xf numFmtId="0" fontId="25" fillId="8" borderId="5" xfId="0" applyFont="1" applyFill="1" applyBorder="1" applyAlignment="1">
      <alignment horizontal="center" vertical="center"/>
    </xf>
    <xf numFmtId="0" fontId="0" fillId="0" borderId="12" xfId="0" applyBorder="1"/>
    <xf numFmtId="0" fontId="25" fillId="16" borderId="6" xfId="0" applyFont="1" applyFill="1" applyBorder="1" applyAlignment="1">
      <alignment horizontal="center" vertical="center"/>
    </xf>
    <xf numFmtId="0" fontId="0" fillId="0" borderId="13" xfId="0" applyBorder="1"/>
    <xf numFmtId="0" fontId="25" fillId="21" borderId="7" xfId="0" applyFont="1" applyFill="1" applyBorder="1" applyAlignment="1">
      <alignment horizontal="center" vertical="center"/>
    </xf>
    <xf numFmtId="0" fontId="0" fillId="0" borderId="14" xfId="0" applyBorder="1"/>
    <xf numFmtId="0" fontId="25" fillId="9" borderId="8" xfId="0" applyFont="1" applyFill="1" applyBorder="1" applyAlignment="1">
      <alignment horizontal="center" vertical="center"/>
    </xf>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26" fillId="22" borderId="3" xfId="0" applyFont="1" applyFill="1" applyBorder="1" applyAlignment="1">
      <alignment horizontal="center" vertical="center"/>
    </xf>
    <xf numFmtId="0" fontId="0" fillId="0" borderId="28" xfId="0" applyBorder="1"/>
    <xf numFmtId="0" fontId="26" fillId="24" borderId="4" xfId="0" applyFont="1" applyFill="1" applyBorder="1" applyAlignment="1">
      <alignment horizontal="center" vertical="center"/>
    </xf>
    <xf numFmtId="0" fontId="0" fillId="0" borderId="29" xfId="0" applyBorder="1"/>
    <xf numFmtId="0" fontId="26" fillId="8" borderId="5" xfId="0" applyFont="1" applyFill="1" applyBorder="1" applyAlignment="1">
      <alignment horizontal="center" vertical="center"/>
    </xf>
    <xf numFmtId="0" fontId="0" fillId="0" borderId="30" xfId="0" applyBorder="1"/>
    <xf numFmtId="0" fontId="26" fillId="16" borderId="6" xfId="0" applyFont="1" applyFill="1" applyBorder="1" applyAlignment="1">
      <alignment horizontal="center" vertical="center"/>
    </xf>
    <xf numFmtId="0" fontId="0" fillId="0" borderId="31" xfId="0" applyBorder="1"/>
    <xf numFmtId="0" fontId="26" fillId="21" borderId="7" xfId="0" applyFont="1" applyFill="1" applyBorder="1" applyAlignment="1">
      <alignment horizontal="center" vertical="center"/>
    </xf>
    <xf numFmtId="0" fontId="0" fillId="0" borderId="32" xfId="0" applyBorder="1"/>
    <xf numFmtId="0" fontId="26" fillId="9" borderId="8" xfId="0" applyFont="1" applyFill="1" applyBorder="1" applyAlignment="1">
      <alignment horizontal="center" vertical="center"/>
    </xf>
    <xf numFmtId="0" fontId="27" fillId="22" borderId="3" xfId="0" applyFont="1" applyFill="1" applyBorder="1" applyAlignment="1">
      <alignment horizontal="center" vertical="center"/>
    </xf>
    <xf numFmtId="0" fontId="27" fillId="24" borderId="4" xfId="0" applyFont="1" applyFill="1" applyBorder="1" applyAlignment="1">
      <alignment horizontal="center" vertical="center"/>
    </xf>
    <xf numFmtId="0" fontId="27" fillId="8" borderId="5" xfId="0" applyFont="1" applyFill="1" applyBorder="1" applyAlignment="1">
      <alignment horizontal="center" vertical="center"/>
    </xf>
    <xf numFmtId="0" fontId="27" fillId="16" borderId="6" xfId="0" applyFont="1" applyFill="1" applyBorder="1" applyAlignment="1">
      <alignment horizontal="center" vertical="center"/>
    </xf>
    <xf numFmtId="0" fontId="27" fillId="21" borderId="7" xfId="0" applyFont="1" applyFill="1" applyBorder="1" applyAlignment="1">
      <alignment horizontal="center" vertical="center"/>
    </xf>
    <xf numFmtId="0" fontId="27" fillId="9" borderId="8" xfId="0" applyFont="1" applyFill="1" applyBorder="1" applyAlignment="1">
      <alignment horizontal="center" vertical="center"/>
    </xf>
    <xf numFmtId="0" fontId="0" fillId="25" borderId="0" xfId="0" applyFill="1"/>
    <xf numFmtId="0" fontId="28" fillId="25" borderId="0" xfId="0" applyFont="1" applyFill="1" applyAlignment="1">
      <alignment horizontal="center" vertical="center"/>
    </xf>
    <xf numFmtId="0" fontId="26" fillId="25" borderId="0" xfId="0" applyFont="1" applyFill="1" applyAlignment="1">
      <alignment horizontal="center" vertical="center"/>
    </xf>
    <xf numFmtId="0" fontId="0" fillId="21" borderId="2" xfId="0" applyFill="1" applyBorder="1"/>
    <xf numFmtId="171" fontId="29" fillId="21" borderId="2" xfId="0" applyNumberFormat="1" applyFont="1" applyFill="1" applyBorder="1" applyAlignment="1">
      <alignment horizontal="center" vertical="center"/>
    </xf>
    <xf numFmtId="2" fontId="29" fillId="21" borderId="2" xfId="0" applyNumberFormat="1" applyFont="1" applyFill="1" applyBorder="1" applyAlignment="1">
      <alignment horizontal="center" vertical="center"/>
    </xf>
    <xf numFmtId="0" fontId="29" fillId="21" borderId="2" xfId="0" applyFont="1" applyFill="1" applyBorder="1" applyAlignment="1">
      <alignment horizontal="center" vertical="center"/>
    </xf>
    <xf numFmtId="0" fontId="5" fillId="26" borderId="2" xfId="0" applyFont="1" applyFill="1" applyBorder="1" applyAlignment="1">
      <alignment horizontal="center" vertical="center"/>
    </xf>
    <xf numFmtId="0" fontId="6" fillId="26" borderId="2" xfId="0" applyFont="1" applyFill="1" applyBorder="1" applyAlignment="1">
      <alignment horizontal="center" vertical="center"/>
    </xf>
    <xf numFmtId="0" fontId="30" fillId="26" borderId="2" xfId="0" applyFont="1" applyFill="1" applyBorder="1" applyAlignment="1">
      <alignment horizontal="center" vertical="center"/>
    </xf>
    <xf numFmtId="0" fontId="31" fillId="26" borderId="2" xfId="0" applyFont="1" applyFill="1" applyBorder="1" applyAlignment="1">
      <alignment horizontal="center" vertical="center"/>
    </xf>
    <xf numFmtId="171" fontId="32" fillId="26" borderId="2" xfId="0" applyNumberFormat="1" applyFont="1" applyFill="1" applyBorder="1" applyAlignment="1">
      <alignment horizontal="center" vertical="center"/>
    </xf>
    <xf numFmtId="0" fontId="6" fillId="26" borderId="2" xfId="0" applyFont="1" applyFill="1" applyBorder="1"/>
    <xf numFmtId="0" fontId="9" fillId="11" borderId="2" xfId="0" applyFont="1" applyFill="1" applyBorder="1" applyAlignment="1">
      <alignment horizontal="center" vertical="center"/>
    </xf>
    <xf numFmtId="0" fontId="33" fillId="11" borderId="2" xfId="0" applyFont="1" applyFill="1" applyBorder="1" applyAlignment="1">
      <alignment horizontal="center" vertical="center"/>
    </xf>
    <xf numFmtId="0" fontId="31" fillId="11" borderId="2" xfId="0" applyFont="1" applyFill="1" applyBorder="1" applyAlignment="1">
      <alignment horizontal="center" vertical="center"/>
    </xf>
    <xf numFmtId="171" fontId="34" fillId="11" borderId="2" xfId="0" applyNumberFormat="1" applyFont="1" applyFill="1" applyBorder="1" applyAlignment="1">
      <alignment horizontal="center" vertical="center"/>
    </xf>
    <xf numFmtId="0" fontId="35" fillId="23" borderId="2" xfId="0" applyFont="1" applyFill="1" applyBorder="1" applyAlignment="1">
      <alignment horizontal="center" vertical="center"/>
    </xf>
    <xf numFmtId="0" fontId="36" fillId="23" borderId="2" xfId="0" applyFont="1" applyFill="1" applyBorder="1" applyAlignment="1">
      <alignment horizontal="center" vertical="center"/>
    </xf>
    <xf numFmtId="0" fontId="31" fillId="23" borderId="2" xfId="0" applyFont="1" applyFill="1" applyBorder="1" applyAlignment="1">
      <alignment horizontal="center" vertical="center"/>
    </xf>
    <xf numFmtId="171" fontId="32" fillId="23" borderId="2" xfId="0" applyNumberFormat="1" applyFont="1" applyFill="1" applyBorder="1" applyAlignment="1">
      <alignment horizontal="center" vertical="center"/>
    </xf>
    <xf numFmtId="0" fontId="6" fillId="23" borderId="2" xfId="0" applyFont="1" applyFill="1" applyBorder="1"/>
    <xf numFmtId="0" fontId="9" fillId="14" borderId="2" xfId="0" applyFont="1" applyFill="1" applyBorder="1" applyAlignment="1">
      <alignment horizontal="center" vertical="center"/>
    </xf>
    <xf numFmtId="0" fontId="16" fillId="14" borderId="2" xfId="0" applyFont="1" applyFill="1" applyBorder="1" applyAlignment="1">
      <alignment horizontal="center" vertical="center"/>
    </xf>
    <xf numFmtId="0" fontId="31" fillId="14" borderId="2" xfId="0" applyFont="1" applyFill="1" applyBorder="1" applyAlignment="1">
      <alignment horizontal="center" vertical="center"/>
    </xf>
    <xf numFmtId="171" fontId="34" fillId="14" borderId="2" xfId="0" applyNumberFormat="1" applyFont="1" applyFill="1" applyBorder="1" applyAlignment="1">
      <alignment horizontal="center" vertical="center"/>
    </xf>
    <xf numFmtId="0" fontId="6" fillId="14" borderId="2" xfId="0" applyFont="1" applyFill="1" applyBorder="1"/>
    <xf numFmtId="0" fontId="5" fillId="23" borderId="2" xfId="0" applyFont="1" applyFill="1" applyBorder="1" applyAlignment="1">
      <alignment horizontal="center" vertical="center"/>
    </xf>
    <xf numFmtId="0" fontId="35" fillId="26" borderId="2" xfId="0" applyFont="1" applyFill="1" applyBorder="1" applyAlignment="1">
      <alignment horizontal="center" vertical="center"/>
    </xf>
    <xf numFmtId="0" fontId="37" fillId="25" borderId="0" xfId="0" applyFont="1" applyFill="1" applyAlignment="1">
      <alignment horizontal="center" vertical="center"/>
    </xf>
    <xf numFmtId="0" fontId="38" fillId="4" borderId="0" xfId="0" applyFont="1" applyFill="1" applyAlignment="1">
      <alignment horizontal="center" vertical="center"/>
    </xf>
    <xf numFmtId="0" fontId="39" fillId="11" borderId="33" xfId="0" applyFont="1" applyFill="1" applyBorder="1" applyAlignment="1">
      <alignment horizontal="center" vertical="center"/>
    </xf>
    <xf numFmtId="0" fontId="6" fillId="11" borderId="33" xfId="0" applyFont="1" applyFill="1" applyBorder="1" applyAlignment="1">
      <alignment horizontal="center" vertical="center"/>
    </xf>
    <xf numFmtId="0" fontId="33" fillId="11" borderId="33" xfId="0" applyFont="1" applyFill="1" applyBorder="1" applyAlignment="1">
      <alignment horizontal="center" vertical="center"/>
    </xf>
    <xf numFmtId="0" fontId="21" fillId="11" borderId="33" xfId="0" applyFont="1" applyFill="1" applyBorder="1" applyAlignment="1">
      <alignment horizontal="center" vertical="center"/>
    </xf>
    <xf numFmtId="171" fontId="39" fillId="11" borderId="33" xfId="0" applyNumberFormat="1" applyFont="1" applyFill="1" applyBorder="1" applyAlignment="1">
      <alignment horizontal="center" vertical="center"/>
    </xf>
    <xf numFmtId="0" fontId="12" fillId="11" borderId="33" xfId="0" applyFont="1" applyFill="1" applyBorder="1"/>
    <xf numFmtId="0" fontId="40" fillId="5" borderId="33" xfId="0" applyFont="1" applyFill="1" applyBorder="1" applyAlignment="1">
      <alignment horizontal="center" vertical="center"/>
    </xf>
    <xf numFmtId="170" fontId="6" fillId="5" borderId="33" xfId="0" applyNumberFormat="1" applyFont="1" applyFill="1" applyBorder="1" applyAlignment="1">
      <alignment horizontal="right" vertical="center"/>
    </xf>
    <xf numFmtId="168" fontId="6" fillId="5" borderId="33" xfId="0" applyNumberFormat="1" applyFont="1" applyFill="1" applyBorder="1" applyAlignment="1">
      <alignment horizontal="center" vertical="center"/>
    </xf>
    <xf numFmtId="3" fontId="6" fillId="5" borderId="33" xfId="0" applyNumberFormat="1" applyFont="1" applyFill="1" applyBorder="1" applyAlignment="1">
      <alignment horizontal="center" vertical="center"/>
    </xf>
    <xf numFmtId="169" fontId="6" fillId="5" borderId="33" xfId="0" applyNumberFormat="1" applyFont="1" applyFill="1" applyBorder="1" applyAlignment="1">
      <alignment horizontal="right" vertical="center"/>
    </xf>
    <xf numFmtId="0" fontId="6" fillId="5" borderId="33" xfId="0" applyFont="1" applyFill="1" applyBorder="1"/>
    <xf numFmtId="0" fontId="40" fillId="27" borderId="33" xfId="0" applyFont="1" applyFill="1" applyBorder="1" applyAlignment="1">
      <alignment horizontal="center" vertical="center"/>
    </xf>
    <xf numFmtId="170" fontId="6" fillId="27" borderId="33" xfId="0" applyNumberFormat="1" applyFont="1" applyFill="1" applyBorder="1" applyAlignment="1">
      <alignment horizontal="right" vertical="center"/>
    </xf>
    <xf numFmtId="168" fontId="6" fillId="27" borderId="33" xfId="0" applyNumberFormat="1" applyFont="1" applyFill="1" applyBorder="1" applyAlignment="1">
      <alignment horizontal="center" vertical="center"/>
    </xf>
    <xf numFmtId="3" fontId="6" fillId="27" borderId="33" xfId="0" applyNumberFormat="1" applyFont="1" applyFill="1" applyBorder="1" applyAlignment="1">
      <alignment horizontal="center" vertical="center"/>
    </xf>
    <xf numFmtId="169" fontId="6" fillId="27" borderId="33" xfId="0" applyNumberFormat="1" applyFont="1" applyFill="1" applyBorder="1" applyAlignment="1">
      <alignment horizontal="right" vertical="center"/>
    </xf>
    <xf numFmtId="0" fontId="6" fillId="27" borderId="33" xfId="0" applyFont="1" applyFill="1" applyBorder="1"/>
    <xf numFmtId="0" fontId="39" fillId="10" borderId="33" xfId="0" applyFont="1" applyFill="1" applyBorder="1" applyAlignment="1">
      <alignment horizontal="center" vertical="center"/>
    </xf>
    <xf numFmtId="10" fontId="40" fillId="10" borderId="33" xfId="0" applyNumberFormat="1" applyFont="1" applyFill="1" applyBorder="1" applyAlignment="1">
      <alignment horizontal="center" vertical="center"/>
    </xf>
    <xf numFmtId="169" fontId="6" fillId="10" borderId="33" xfId="0" applyNumberFormat="1" applyFont="1" applyFill="1" applyBorder="1" applyAlignment="1">
      <alignment horizontal="right" vertical="center"/>
    </xf>
    <xf numFmtId="3" fontId="6" fillId="10" borderId="33" xfId="0" applyNumberFormat="1" applyFont="1" applyFill="1" applyBorder="1" applyAlignment="1">
      <alignment horizontal="center" vertical="center"/>
    </xf>
    <xf numFmtId="0" fontId="14" fillId="10" borderId="33" xfId="0" applyFont="1" applyFill="1" applyBorder="1"/>
    <xf numFmtId="10" fontId="40" fillId="11" borderId="33" xfId="0" applyNumberFormat="1" applyFont="1" applyFill="1" applyBorder="1" applyAlignment="1">
      <alignment horizontal="center" vertical="center"/>
    </xf>
    <xf numFmtId="169" fontId="6" fillId="11" borderId="33" xfId="0" applyNumberFormat="1" applyFont="1" applyFill="1" applyBorder="1" applyAlignment="1">
      <alignment horizontal="right" vertical="center"/>
    </xf>
    <xf numFmtId="3" fontId="6" fillId="11" borderId="33" xfId="0" applyNumberFormat="1" applyFont="1" applyFill="1" applyBorder="1" applyAlignment="1">
      <alignment horizontal="center" vertical="center"/>
    </xf>
    <xf numFmtId="0" fontId="14" fillId="11" borderId="33" xfId="0" applyFont="1" applyFill="1" applyBorder="1"/>
    <xf numFmtId="0" fontId="39" fillId="12" borderId="33" xfId="0" applyFont="1" applyFill="1" applyBorder="1" applyAlignment="1">
      <alignment horizontal="center" vertical="center"/>
    </xf>
    <xf numFmtId="10" fontId="40" fillId="12" borderId="33" xfId="0" applyNumberFormat="1" applyFont="1" applyFill="1" applyBorder="1" applyAlignment="1">
      <alignment horizontal="center" vertical="center"/>
    </xf>
    <xf numFmtId="169" fontId="6" fillId="12" borderId="33" xfId="0" applyNumberFormat="1" applyFont="1" applyFill="1" applyBorder="1" applyAlignment="1">
      <alignment horizontal="right" vertical="center"/>
    </xf>
    <xf numFmtId="3" fontId="6" fillId="12" borderId="33" xfId="0" applyNumberFormat="1" applyFont="1" applyFill="1" applyBorder="1" applyAlignment="1">
      <alignment horizontal="center" vertical="center"/>
    </xf>
    <xf numFmtId="0" fontId="14" fillId="12" borderId="33" xfId="0" applyFont="1" applyFill="1" applyBorder="1"/>
    <xf numFmtId="0" fontId="39" fillId="14" borderId="33" xfId="0" applyFont="1" applyFill="1" applyBorder="1" applyAlignment="1">
      <alignment horizontal="center" vertical="center"/>
    </xf>
    <xf numFmtId="0" fontId="6" fillId="14" borderId="33" xfId="0" applyFont="1" applyFill="1" applyBorder="1" applyAlignment="1">
      <alignment horizontal="center" vertical="center"/>
    </xf>
    <xf numFmtId="0" fontId="40" fillId="14" borderId="33" xfId="0" applyFont="1" applyFill="1" applyBorder="1" applyAlignment="1">
      <alignment horizontal="center" vertical="center"/>
    </xf>
    <xf numFmtId="0" fontId="21" fillId="14" borderId="33" xfId="0" applyFont="1" applyFill="1" applyBorder="1" applyAlignment="1">
      <alignment horizontal="center" vertical="center"/>
    </xf>
    <xf numFmtId="171" fontId="39" fillId="14" borderId="33" xfId="0" applyNumberFormat="1" applyFont="1" applyFill="1" applyBorder="1" applyAlignment="1">
      <alignment horizontal="center" vertical="center"/>
    </xf>
    <xf numFmtId="0" fontId="12" fillId="14" borderId="33" xfId="0" applyFont="1" applyFill="1" applyBorder="1"/>
    <xf numFmtId="0" fontId="39" fillId="13" borderId="33" xfId="0" applyFont="1" applyFill="1" applyBorder="1" applyAlignment="1">
      <alignment horizontal="center" vertical="center"/>
    </xf>
    <xf numFmtId="10" fontId="40" fillId="13" borderId="33" xfId="0" applyNumberFormat="1" applyFont="1" applyFill="1" applyBorder="1" applyAlignment="1">
      <alignment horizontal="center" vertical="center"/>
    </xf>
    <xf numFmtId="169" fontId="6" fillId="13" borderId="33" xfId="0" applyNumberFormat="1" applyFont="1" applyFill="1" applyBorder="1" applyAlignment="1">
      <alignment horizontal="right" vertical="center"/>
    </xf>
    <xf numFmtId="3" fontId="6" fillId="13" borderId="33" xfId="0" applyNumberFormat="1" applyFont="1" applyFill="1" applyBorder="1" applyAlignment="1">
      <alignment horizontal="center" vertical="center"/>
    </xf>
    <xf numFmtId="0" fontId="14" fillId="13" borderId="33" xfId="0" applyFont="1" applyFill="1" applyBorder="1"/>
    <xf numFmtId="10" fontId="40" fillId="14" borderId="33" xfId="0" applyNumberFormat="1" applyFont="1" applyFill="1" applyBorder="1" applyAlignment="1">
      <alignment horizontal="center" vertical="center"/>
    </xf>
    <xf numFmtId="169" fontId="6" fillId="14" borderId="33" xfId="0" applyNumberFormat="1" applyFont="1" applyFill="1" applyBorder="1" applyAlignment="1">
      <alignment horizontal="right" vertical="center"/>
    </xf>
    <xf numFmtId="3" fontId="6" fillId="14" borderId="33" xfId="0" applyNumberFormat="1" applyFont="1" applyFill="1" applyBorder="1" applyAlignment="1">
      <alignment horizontal="center" vertical="center"/>
    </xf>
    <xf numFmtId="0" fontId="14" fillId="14" borderId="33" xfId="0" applyFont="1" applyFill="1" applyBorder="1"/>
    <xf numFmtId="0" fontId="10" fillId="21" borderId="33" xfId="0" applyFont="1" applyFill="1" applyBorder="1" applyAlignment="1">
      <alignment horizontal="center" vertical="center"/>
    </xf>
    <xf numFmtId="0" fontId="10" fillId="28" borderId="33" xfId="0" applyFont="1" applyFill="1" applyBorder="1" applyAlignment="1">
      <alignment horizontal="center" vertical="center"/>
    </xf>
    <xf numFmtId="0" fontId="10" fillId="16" borderId="33" xfId="0" applyFont="1" applyFill="1" applyBorder="1" applyAlignment="1">
      <alignment horizontal="center" vertical="center"/>
    </xf>
    <xf numFmtId="0" fontId="29" fillId="22" borderId="0" xfId="0" applyFont="1" applyFill="1" applyAlignment="1">
      <alignment horizontal="center" vertical="center"/>
    </xf>
    <xf numFmtId="0" fontId="29" fillId="9" borderId="0" xfId="0" applyFont="1" applyFill="1" applyAlignment="1">
      <alignment horizontal="center" vertical="center"/>
    </xf>
    <xf numFmtId="0" fontId="29" fillId="16" borderId="0" xfId="0" applyFont="1" applyFill="1" applyAlignment="1">
      <alignment horizontal="center" vertical="center"/>
    </xf>
    <xf numFmtId="0" fontId="41" fillId="29" borderId="34" xfId="0" applyFont="1" applyFill="1" applyBorder="1" applyAlignment="1">
      <alignment horizontal="center" vertical="center"/>
    </xf>
    <xf numFmtId="0" fontId="42" fillId="5" borderId="34" xfId="0" applyFont="1" applyFill="1" applyBorder="1" applyAlignment="1">
      <alignment horizontal="center" vertical="center"/>
    </xf>
    <xf numFmtId="0" fontId="42" fillId="20" borderId="34" xfId="0" applyFont="1" applyFill="1" applyBorder="1" applyAlignment="1">
      <alignment horizontal="center" vertical="center"/>
    </xf>
    <xf numFmtId="0" fontId="10" fillId="22" borderId="3" xfId="0" applyFont="1" applyFill="1" applyBorder="1" applyAlignment="1">
      <alignment horizontal="center" vertical="center"/>
    </xf>
    <xf numFmtId="0" fontId="43" fillId="26" borderId="34" xfId="0" applyFont="1" applyFill="1" applyBorder="1" applyAlignment="1">
      <alignment horizontal="center" vertical="center"/>
    </xf>
    <xf numFmtId="0" fontId="10" fillId="30" borderId="35" xfId="0" applyFont="1" applyFill="1" applyBorder="1" applyAlignment="1">
      <alignment horizontal="center" vertical="center"/>
    </xf>
    <xf numFmtId="0" fontId="15" fillId="28" borderId="0" xfId="0" applyFont="1" applyFill="1" applyAlignment="1">
      <alignment horizontal="center" vertical="center"/>
    </xf>
    <xf numFmtId="0" fontId="44" fillId="31" borderId="34" xfId="0" applyFont="1" applyFill="1" applyBorder="1" applyAlignment="1">
      <alignment horizontal="center" vertical="center"/>
    </xf>
    <xf numFmtId="0" fontId="10" fillId="16" borderId="6" xfId="0" applyFont="1" applyFill="1" applyBorder="1" applyAlignment="1">
      <alignment horizontal="center" vertical="center"/>
    </xf>
    <xf numFmtId="0" fontId="10" fillId="28" borderId="36" xfId="0" applyFont="1" applyFill="1" applyBorder="1" applyAlignment="1">
      <alignment horizontal="center" vertical="center"/>
    </xf>
    <xf numFmtId="0" fontId="0" fillId="25" borderId="0" xfId="0" applyFill="1"/>
    <xf numFmtId="0" fontId="0" fillId="22" borderId="0" xfId="0" applyFill="1"/>
    <xf numFmtId="0" fontId="0" fillId="30" borderId="0" xfId="0" applyFill="1"/>
    <xf numFmtId="0" fontId="0" fillId="8" borderId="0" xfId="0" applyFill="1"/>
    <xf numFmtId="0" fontId="0" fillId="16" borderId="0" xfId="0" applyFill="1"/>
    <xf numFmtId="0" fontId="0" fillId="32" borderId="0" xfId="0" applyFill="1"/>
    <xf numFmtId="0" fontId="0" fillId="9" borderId="0" xfId="0" applyFill="1"/>
    <xf numFmtId="0" fontId="45" fillId="22" borderId="0" xfId="0" applyFont="1" applyFill="1" applyAlignment="1">
      <alignment horizontal="center" vertical="center"/>
    </xf>
    <xf numFmtId="0" fontId="45" fillId="30" borderId="0" xfId="0" applyFont="1" applyFill="1" applyAlignment="1">
      <alignment horizontal="center" vertical="center"/>
    </xf>
    <xf numFmtId="0" fontId="45" fillId="8" borderId="0" xfId="0" applyFont="1" applyFill="1" applyAlignment="1">
      <alignment horizontal="center" vertical="center"/>
    </xf>
    <xf numFmtId="0" fontId="45" fillId="16" borderId="0" xfId="0" applyFont="1" applyFill="1" applyAlignment="1">
      <alignment horizontal="center" vertical="center"/>
    </xf>
    <xf numFmtId="0" fontId="45" fillId="32" borderId="0" xfId="0" applyFont="1" applyFill="1" applyAlignment="1">
      <alignment horizontal="center" vertical="center"/>
    </xf>
    <xf numFmtId="0" fontId="45" fillId="9" borderId="0" xfId="0" applyFont="1" applyFill="1" applyAlignment="1">
      <alignment horizontal="center" vertical="center"/>
    </xf>
    <xf numFmtId="0" fontId="37" fillId="22" borderId="0" xfId="0" applyFont="1" applyFill="1" applyAlignment="1">
      <alignment horizontal="center" vertical="center"/>
    </xf>
    <xf numFmtId="0" fontId="37" fillId="30" borderId="0" xfId="0" applyFont="1" applyFill="1" applyAlignment="1">
      <alignment horizontal="center" vertical="center"/>
    </xf>
    <xf numFmtId="0" fontId="37" fillId="8" borderId="0" xfId="0" applyFont="1" applyFill="1" applyAlignment="1">
      <alignment horizontal="center" vertical="center"/>
    </xf>
    <xf numFmtId="0" fontId="37" fillId="16" borderId="0" xfId="0" applyFont="1" applyFill="1" applyAlignment="1">
      <alignment horizontal="center" vertical="center"/>
    </xf>
    <xf numFmtId="0" fontId="37" fillId="32" borderId="0" xfId="0" applyFont="1" applyFill="1" applyAlignment="1">
      <alignment horizontal="center" vertical="center"/>
    </xf>
    <xf numFmtId="0" fontId="37" fillId="9" borderId="0" xfId="0" applyFont="1" applyFill="1" applyAlignment="1">
      <alignment horizontal="center" vertical="center"/>
    </xf>
    <xf numFmtId="0" fontId="46" fillId="22" borderId="0" xfId="0" applyFont="1" applyFill="1" applyAlignment="1">
      <alignment horizontal="center" vertical="center"/>
    </xf>
    <xf numFmtId="0" fontId="46" fillId="30" borderId="0" xfId="0" applyFont="1" applyFill="1" applyAlignment="1">
      <alignment horizontal="center" vertical="center"/>
    </xf>
    <xf numFmtId="0" fontId="46" fillId="8" borderId="0" xfId="0" applyFont="1" applyFill="1" applyAlignment="1">
      <alignment horizontal="center" vertical="center"/>
    </xf>
    <xf numFmtId="0" fontId="46" fillId="16" borderId="0" xfId="0" applyFont="1" applyFill="1" applyAlignment="1">
      <alignment horizontal="center" vertical="center"/>
    </xf>
    <xf numFmtId="0" fontId="46" fillId="32" borderId="0" xfId="0" applyFont="1" applyFill="1" applyAlignment="1">
      <alignment horizontal="center" vertical="center"/>
    </xf>
    <xf numFmtId="0" fontId="46" fillId="9" borderId="0" xfId="0" applyFont="1" applyFill="1" applyAlignment="1">
      <alignment horizontal="center" vertical="center"/>
    </xf>
    <xf numFmtId="0" fontId="47" fillId="25" borderId="0" xfId="0" applyFont="1" applyFill="1" applyAlignment="1">
      <alignment horizontal="center" vertical="center"/>
    </xf>
    <xf numFmtId="0" fontId="48" fillId="25" borderId="0" xfId="0" applyFont="1" applyFill="1" applyAlignment="1">
      <alignment horizontal="center" vertical="center"/>
    </xf>
  </cellXfs>
  <cellStyles count="1">
    <cellStyle name="Normal" xfId="0" builtinId="0"/>
  </cellStyles>
  <dxfs count="37">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3.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5.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[Dashboard.xlsx]KPIs!Monthly_Spend</c:name>
    <c:fmtId val="6"/>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sz="1400" b="1" i="0" u="none" strike="noStrike" baseline="0">
                <a:solidFill>
                  <a:schemeClr val="accent1"/>
                </a:solidFill>
              </a:rPr>
              <a:t>Monthly Purchase Spend</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KPIs!$B$18:$B$30</c:f>
              <c:numCache>
                <c:formatCode>General</c:formatCode>
                <c:ptCount val="12"/>
                <c:pt idx="0">
                  <c:v>1743132</c:v>
                </c:pt>
                <c:pt idx="1">
                  <c:v>915804</c:v>
                </c:pt>
                <c:pt idx="2">
                  <c:v>792360</c:v>
                </c:pt>
                <c:pt idx="3">
                  <c:v>864086</c:v>
                </c:pt>
                <c:pt idx="4">
                  <c:v>1541075</c:v>
                </c:pt>
                <c:pt idx="5">
                  <c:v>971692</c:v>
                </c:pt>
                <c:pt idx="6">
                  <c:v>1145358</c:v>
                </c:pt>
                <c:pt idx="7">
                  <c:v>708923</c:v>
                </c:pt>
                <c:pt idx="8">
                  <c:v>1210333</c:v>
                </c:pt>
                <c:pt idx="9">
                  <c:v>945460</c:v>
                </c:pt>
                <c:pt idx="10">
                  <c:v>1073550</c:v>
                </c:pt>
                <c:pt idx="11">
                  <c:v>494296</c:v>
                </c:pt>
              </c:numCache>
            </c:numRef>
          </c:val>
          <c:extLst>
            <c:ext xmlns:c16="http://schemas.microsoft.com/office/drawing/2014/chart" uri="{C3380CC4-5D6E-409C-BE32-E72D297353CC}">
              <c16:uniqueId val="{00000000-BB22-42A4-AFCF-A9FBC4F874FD}"/>
            </c:ext>
          </c:extLst>
        </c:ser>
        <c:dLbls>
          <c:dLblPos val="outEnd"/>
          <c:showLegendKey val="0"/>
          <c:showVal val="1"/>
          <c:showCatName val="0"/>
          <c:showSerName val="0"/>
          <c:showPercent val="0"/>
          <c:showBubbleSize val="0"/>
        </c:dLbls>
        <c:gapWidth val="219"/>
        <c:overlap val="-27"/>
        <c:axId val="451874687"/>
        <c:axId val="451875167"/>
      </c:barChart>
      <c:catAx>
        <c:axId val="45187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451875167"/>
        <c:crosses val="autoZero"/>
        <c:auto val="1"/>
        <c:lblAlgn val="ctr"/>
        <c:lblOffset val="100"/>
        <c:noMultiLvlLbl val="0"/>
      </c:catAx>
      <c:valAx>
        <c:axId val="451875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451874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[Dashboard.xlsx]KPIs!PivotTable6</c:name>
    <c:fmtId val="6"/>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sz="1400" b="0" i="0" u="none" strike="noStrike" baseline="0">
                <a:solidFill>
                  <a:schemeClr val="accent1">
                    <a:lumMod val="75000"/>
                  </a:schemeClr>
                </a:solidFill>
              </a:rPr>
              <a:t>Spend by Category</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KPIs!$Z$17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D8-4DC1-BC00-F0ACE3D7FC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D8-4DC1-BC00-F0ACE3D7FC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D8-4DC1-BC00-F0ACE3D7FC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D8-4DC1-BC00-F0ACE3D7FC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FD8-4DC1-BC00-F0ACE3D7FC6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FD8-4DC1-BC00-F0ACE3D7FC6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KPIs!$Y$18:$Y$24</c:f>
              <c:strCache>
                <c:ptCount val="6"/>
                <c:pt idx="0">
                  <c:v>Chemicals</c:v>
                </c:pt>
                <c:pt idx="1">
                  <c:v>Electronics</c:v>
                </c:pt>
                <c:pt idx="2">
                  <c:v>Mechanical</c:v>
                </c:pt>
                <c:pt idx="3">
                  <c:v>Packaging</c:v>
                </c:pt>
                <c:pt idx="4">
                  <c:v>Plastic</c:v>
                </c:pt>
                <c:pt idx="5">
                  <c:v>Raw Materials</c:v>
                </c:pt>
              </c:strCache>
            </c:strRef>
          </c:cat>
          <c:val>
            <c:numRef>
              <c:f>KPIs!$Z$18:$Z$24</c:f>
              <c:numCache>
                <c:formatCode>0.00%</c:formatCode>
                <c:ptCount val="6"/>
                <c:pt idx="0">
                  <c:v>0.21794002596632342</c:v>
                </c:pt>
                <c:pt idx="1">
                  <c:v>0.13133152814158941</c:v>
                </c:pt>
                <c:pt idx="2">
                  <c:v>0.26246508865942952</c:v>
                </c:pt>
                <c:pt idx="3">
                  <c:v>0.10653398751852823</c:v>
                </c:pt>
                <c:pt idx="4">
                  <c:v>0.24813556977637316</c:v>
                </c:pt>
                <c:pt idx="5">
                  <c:v>3.3593799937756269E-2</c:v>
                </c:pt>
              </c:numCache>
            </c:numRef>
          </c:val>
          <c:extLst>
            <c:ext xmlns:c16="http://schemas.microsoft.com/office/drawing/2014/chart" uri="{C3380CC4-5D6E-409C-BE32-E72D297353CC}">
              <c16:uniqueId val="{0000000C-5FD8-4DC1-BC00-F0ACE3D7FC6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accent1">
                    <a:lumMod val="75000"/>
                  </a:schemeClr>
                </a:solidFill>
              </a:rPr>
              <a:t>Inventory Value by Warehouse</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KPIs!$AC$17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80-495C-9832-ECDADB096B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80-495C-9832-ECDADB096B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80-495C-9832-ECDADB096B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80-495C-9832-ECDADB096BE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80-495C-9832-ECDADB096BE1}"/>
              </c:ext>
            </c:extLst>
          </c:dPt>
          <c:dLbls>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KPIs!$AB$18:$AB$23</c:f>
              <c:strCache>
                <c:ptCount val="5"/>
                <c:pt idx="0">
                  <c:v>Atlanta</c:v>
                </c:pt>
                <c:pt idx="1">
                  <c:v>Chicago</c:v>
                </c:pt>
                <c:pt idx="2">
                  <c:v>Dallas</c:v>
                </c:pt>
                <c:pt idx="3">
                  <c:v>New York</c:v>
                </c:pt>
                <c:pt idx="4">
                  <c:v>Phoenix</c:v>
                </c:pt>
              </c:strCache>
            </c:strRef>
          </c:cat>
          <c:val>
            <c:numRef>
              <c:f>KPIs!$AC$18:$AC$23</c:f>
              <c:numCache>
                <c:formatCode>0.00%</c:formatCode>
                <c:ptCount val="5"/>
                <c:pt idx="0">
                  <c:v>0.22341786848158557</c:v>
                </c:pt>
                <c:pt idx="1">
                  <c:v>0.21551250337655609</c:v>
                </c:pt>
                <c:pt idx="2">
                  <c:v>0.21616283608103054</c:v>
                </c:pt>
                <c:pt idx="3">
                  <c:v>0.13978733541175631</c:v>
                </c:pt>
                <c:pt idx="4">
                  <c:v>0.2051194566490715</c:v>
                </c:pt>
              </c:numCache>
            </c:numRef>
          </c:val>
          <c:extLst>
            <c:ext xmlns:c16="http://schemas.microsoft.com/office/drawing/2014/chart" uri="{C3380CC4-5D6E-409C-BE32-E72D297353CC}">
              <c16:uniqueId val="{0000000A-4380-495C-9832-ECDADB096BE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Monthly Purchase Spend</a:t>
            </a:r>
          </a:p>
        </c:rich>
      </c:tx>
      <c:overlay val="1"/>
    </c:title>
    <c:autoTitleDeleted val="0"/>
    <c:plotArea>
      <c:layout/>
      <c:barChart>
        <c:barDir val="col"/>
        <c:grouping val="clustered"/>
        <c:varyColors val="1"/>
        <c:ser>
          <c:idx val="0"/>
          <c:order val="0"/>
          <c:tx>
            <c:strRef>
              <c:f>[1]_Data!$B$1</c:f>
              <c:strCache>
                <c:ptCount val="1"/>
                <c:pt idx="0">
                  <c:v>Spend</c:v>
                </c:pt>
              </c:strCache>
            </c:strRef>
          </c:tx>
          <c:spPr>
            <a:solidFill>
              <a:srgbClr val="1B6CA8"/>
            </a:solidFill>
            <a:ln>
              <a:solidFill>
                <a:srgbClr val="1B6CA8"/>
              </a:solidFill>
              <a:prstDash val="solid"/>
            </a:ln>
          </c:spPr>
          <c:invertIfNegative val="1"/>
          <c:dLbls>
            <c:spPr>
              <a:noFill/>
              <a:ln>
                <a:noFill/>
              </a:ln>
              <a:effectLst/>
            </c:spPr>
            <c:dLblPos val="outEnd"/>
            <c:showLegendKey val="1"/>
            <c:showVal val="1"/>
            <c:showCatName val="0"/>
            <c:showSerName val="0"/>
            <c:showPercent val="1"/>
            <c:showBubbleSize val="1"/>
            <c:showLeaderLines val="0"/>
            <c:extLst>
              <c:ext xmlns:c15="http://schemas.microsoft.com/office/drawing/2012/chart" uri="{CE6537A1-D6FC-4f65-9D91-7224C49458BB}">
                <c15:showLeaderLines val="0"/>
              </c:ext>
            </c:extLst>
          </c:dLbls>
          <c:cat>
            <c:strRef>
              <c:f>[1]_Data!$A$2:$A$13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[1]_Data!$B$2:$B$13</c:f>
              <c:numCache>
                <c:formatCode>General</c:formatCode>
                <c:ptCount val="12"/>
                <c:pt idx="0">
                  <c:v>1743132</c:v>
                </c:pt>
                <c:pt idx="1">
                  <c:v>915804</c:v>
                </c:pt>
                <c:pt idx="2">
                  <c:v>792360</c:v>
                </c:pt>
                <c:pt idx="3">
                  <c:v>864086</c:v>
                </c:pt>
                <c:pt idx="4">
                  <c:v>1541075</c:v>
                </c:pt>
                <c:pt idx="5">
                  <c:v>971692</c:v>
                </c:pt>
                <c:pt idx="6">
                  <c:v>1145358</c:v>
                </c:pt>
                <c:pt idx="7">
                  <c:v>708923</c:v>
                </c:pt>
                <c:pt idx="8">
                  <c:v>1210333</c:v>
                </c:pt>
                <c:pt idx="9">
                  <c:v>945460</c:v>
                </c:pt>
                <c:pt idx="10">
                  <c:v>1073550</c:v>
                </c:pt>
                <c:pt idx="11">
                  <c:v>494296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B6CA8"/>
                    </a:solidFill>
                    <a:prstDash val="solid"/>
                  </a:ln>
                </c14:spPr>
              </c14:invertSolidFillFmt>
            </c:ext>
            <c:ext xmlns:c16="http://schemas.microsoft.com/office/drawing/2014/chart" uri="{C3380CC4-5D6E-409C-BE32-E72D297353CC}">
              <c16:uniqueId val="{00000000-2B54-4605-A60B-C67CFBD38D24}"/>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Purchases vs Payments Trend</a:t>
            </a:r>
          </a:p>
        </c:rich>
      </c:tx>
      <c:overlay val="1"/>
    </c:title>
    <c:autoTitleDeleted val="0"/>
    <c:plotArea>
      <c:layout/>
      <c:lineChart>
        <c:grouping val="standard"/>
        <c:varyColors val="1"/>
        <c:ser>
          <c:idx val="0"/>
          <c:order val="0"/>
          <c:tx>
            <c:strRef>
              <c:f>[1]_Data!$B$1</c:f>
              <c:strCache>
                <c:ptCount val="1"/>
                <c:pt idx="0">
                  <c:v>Spend</c:v>
                </c:pt>
              </c:strCache>
            </c:strRef>
          </c:tx>
          <c:spPr>
            <a:ln w="20000">
              <a:solidFill>
                <a:srgbClr val="1B6CA8"/>
              </a:solidFill>
              <a:prstDash val="solid"/>
            </a:ln>
          </c:spPr>
          <c:marker>
            <c:symbol val="none"/>
          </c:marker>
          <c:cat>
            <c:strRef>
              <c:f>[1]_Data!$A$2:$A$13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[1]_Data!$B$2:$B$13</c:f>
              <c:numCache>
                <c:formatCode>General</c:formatCode>
                <c:ptCount val="12"/>
                <c:pt idx="0">
                  <c:v>1743132</c:v>
                </c:pt>
                <c:pt idx="1">
                  <c:v>915804</c:v>
                </c:pt>
                <c:pt idx="2">
                  <c:v>792360</c:v>
                </c:pt>
                <c:pt idx="3">
                  <c:v>864086</c:v>
                </c:pt>
                <c:pt idx="4">
                  <c:v>1541075</c:v>
                </c:pt>
                <c:pt idx="5">
                  <c:v>971692</c:v>
                </c:pt>
                <c:pt idx="6">
                  <c:v>1145358</c:v>
                </c:pt>
                <c:pt idx="7">
                  <c:v>708923</c:v>
                </c:pt>
                <c:pt idx="8">
                  <c:v>1210333</c:v>
                </c:pt>
                <c:pt idx="9">
                  <c:v>945460</c:v>
                </c:pt>
                <c:pt idx="10">
                  <c:v>1073550</c:v>
                </c:pt>
                <c:pt idx="11">
                  <c:v>494296</c:v>
                </c:pt>
              </c:numCache>
            </c:numRef>
          </c:val>
          <c:smooth val="1"/>
          <c:extLst>
            <c:ext xmlns:c16="http://schemas.microsoft.com/office/drawing/2014/chart" uri="{C3380CC4-5D6E-409C-BE32-E72D297353CC}">
              <c16:uniqueId val="{00000000-02D8-4536-9D39-3B1699D07256}"/>
            </c:ext>
          </c:extLst>
        </c:ser>
        <c:ser>
          <c:idx val="1"/>
          <c:order val="1"/>
          <c:tx>
            <c:strRef>
              <c:f>[1]_Data!$C$1</c:f>
              <c:strCache>
                <c:ptCount val="1"/>
                <c:pt idx="0">
                  <c:v>Payments</c:v>
                </c:pt>
              </c:strCache>
            </c:strRef>
          </c:tx>
          <c:spPr>
            <a:ln w="20000">
              <a:solidFill>
                <a:srgbClr val="E67E22"/>
              </a:solidFill>
              <a:prstDash val="solid"/>
            </a:ln>
          </c:spPr>
          <c:marker>
            <c:symbol val="none"/>
          </c:marker>
          <c:cat>
            <c:strRef>
              <c:f>[1]_Data!$A$2:$A$13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[1]_Data!$C$2:$C$13</c:f>
              <c:numCache>
                <c:formatCode>General</c:formatCode>
                <c:ptCount val="12"/>
                <c:pt idx="0">
                  <c:v>1895543</c:v>
                </c:pt>
                <c:pt idx="1">
                  <c:v>980107</c:v>
                </c:pt>
                <c:pt idx="2">
                  <c:v>662516</c:v>
                </c:pt>
                <c:pt idx="3">
                  <c:v>938369</c:v>
                </c:pt>
                <c:pt idx="4">
                  <c:v>1653271</c:v>
                </c:pt>
                <c:pt idx="5">
                  <c:v>1250323</c:v>
                </c:pt>
                <c:pt idx="6">
                  <c:v>1121723</c:v>
                </c:pt>
                <c:pt idx="7">
                  <c:v>634313</c:v>
                </c:pt>
                <c:pt idx="8">
                  <c:v>1436406</c:v>
                </c:pt>
                <c:pt idx="9">
                  <c:v>1044033</c:v>
                </c:pt>
                <c:pt idx="10">
                  <c:v>1086457</c:v>
                </c:pt>
                <c:pt idx="11">
                  <c:v>657404</c:v>
                </c:pt>
              </c:numCache>
            </c:numRef>
          </c:val>
          <c:smooth val="1"/>
          <c:extLst>
            <c:ext xmlns:c16="http://schemas.microsoft.com/office/drawing/2014/chart" uri="{C3380CC4-5D6E-409C-BE32-E72D297353CC}">
              <c16:uniqueId val="{00000001-02D8-4536-9D39-3B1699D07256}"/>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Spend by Category</a:t>
            </a:r>
          </a:p>
        </c:rich>
      </c:tx>
      <c:overlay val="1"/>
    </c:title>
    <c:autoTitleDeleted val="0"/>
    <c:plotArea>
      <c:layout/>
      <c:pieChart>
        <c:varyColors val="1"/>
        <c:ser>
          <c:idx val="0"/>
          <c:order val="0"/>
          <c:tx>
            <c:strRef>
              <c:f>[1]_Data!$F$1</c:f>
              <c:strCache>
                <c:ptCount val="1"/>
                <c:pt idx="0">
                  <c:v>Pct</c:v>
                </c:pt>
              </c:strCache>
            </c:strRef>
          </c:tx>
          <c:spPr>
            <a:ln>
              <a:prstDash val="solid"/>
            </a:ln>
          </c:spPr>
          <c:dPt>
            <c:idx val="0"/>
            <c:bubble3D val="0"/>
            <c:spPr>
              <a:solidFill>
                <a:srgbClr val="2980B9"/>
              </a:solidFill>
              <a:ln>
                <a:prstDash val="solid"/>
              </a:ln>
            </c:spPr>
            <c:extLst>
              <c:ext xmlns:c16="http://schemas.microsoft.com/office/drawing/2014/chart" uri="{C3380CC4-5D6E-409C-BE32-E72D297353CC}">
                <c16:uniqueId val="{00000001-4220-44B8-A007-5BE616532FCB}"/>
              </c:ext>
            </c:extLst>
          </c:dPt>
          <c:dPt>
            <c:idx val="1"/>
            <c:bubble3D val="0"/>
            <c:spPr>
              <a:solidFill>
                <a:srgbClr val="E74C3C"/>
              </a:solidFill>
              <a:ln>
                <a:prstDash val="solid"/>
              </a:ln>
            </c:spPr>
            <c:extLst>
              <c:ext xmlns:c16="http://schemas.microsoft.com/office/drawing/2014/chart" uri="{C3380CC4-5D6E-409C-BE32-E72D297353CC}">
                <c16:uniqueId val="{00000003-4220-44B8-A007-5BE616532FCB}"/>
              </c:ext>
            </c:extLst>
          </c:dPt>
          <c:dPt>
            <c:idx val="2"/>
            <c:bubble3D val="0"/>
            <c:spPr>
              <a:solidFill>
                <a:srgbClr val="1E8449"/>
              </a:solidFill>
              <a:ln>
                <a:prstDash val="solid"/>
              </a:ln>
            </c:spPr>
            <c:extLst>
              <c:ext xmlns:c16="http://schemas.microsoft.com/office/drawing/2014/chart" uri="{C3380CC4-5D6E-409C-BE32-E72D297353CC}">
                <c16:uniqueId val="{00000005-4220-44B8-A007-5BE616532FCB}"/>
              </c:ext>
            </c:extLst>
          </c:dPt>
          <c:dPt>
            <c:idx val="3"/>
            <c:bubble3D val="0"/>
            <c:spPr>
              <a:solidFill>
                <a:srgbClr val="F39C12"/>
              </a:solidFill>
              <a:ln>
                <a:prstDash val="solid"/>
              </a:ln>
            </c:spPr>
            <c:extLst>
              <c:ext xmlns:c16="http://schemas.microsoft.com/office/drawing/2014/chart" uri="{C3380CC4-5D6E-409C-BE32-E72D297353CC}">
                <c16:uniqueId val="{00000007-4220-44B8-A007-5BE616532FCB}"/>
              </c:ext>
            </c:extLst>
          </c:dPt>
          <c:dPt>
            <c:idx val="4"/>
            <c:bubble3D val="0"/>
            <c:spPr>
              <a:solidFill>
                <a:srgbClr val="8E44AD"/>
              </a:solidFill>
              <a:ln>
                <a:prstDash val="solid"/>
              </a:ln>
            </c:spPr>
            <c:extLst>
              <c:ext xmlns:c16="http://schemas.microsoft.com/office/drawing/2014/chart" uri="{C3380CC4-5D6E-409C-BE32-E72D297353CC}">
                <c16:uniqueId val="{00000009-4220-44B8-A007-5BE616532FCB}"/>
              </c:ext>
            </c:extLst>
          </c:dPt>
          <c:dPt>
            <c:idx val="5"/>
            <c:bubble3D val="0"/>
            <c:spPr>
              <a:solidFill>
                <a:srgbClr val="95A5A6"/>
              </a:solidFill>
              <a:ln>
                <a:prstDash val="solid"/>
              </a:ln>
            </c:spPr>
            <c:extLst>
              <c:ext xmlns:c16="http://schemas.microsoft.com/office/drawing/2014/chart" uri="{C3380CC4-5D6E-409C-BE32-E72D297353CC}">
                <c16:uniqueId val="{0000000B-4220-44B8-A007-5BE616532FCB}"/>
              </c:ext>
            </c:extLst>
          </c:dPt>
          <c:dLbls>
            <c:spPr>
              <a:noFill/>
              <a:ln>
                <a:noFill/>
              </a:ln>
              <a:effectLst/>
            </c:spPr>
            <c:dLblPos val="bestFit"/>
            <c:showLegendKey val="1"/>
            <c:showVal val="0"/>
            <c:showCatName val="0"/>
            <c:showSerName val="1"/>
            <c:showPercent val="1"/>
            <c:showBubbleSize val="1"/>
            <c:showLeaderLines val="1"/>
            <c:extLst>
              <c:ext xmlns:c15="http://schemas.microsoft.com/office/drawing/2012/chart" uri="{CE6537A1-D6FC-4f65-9D91-7224C49458BB}"/>
            </c:extLst>
          </c:dLbls>
          <c:cat>
            <c:strRef>
              <c:f>[1]_Data!$E$2:$E$7</c:f>
              <c:strCache>
                <c:ptCount val="6"/>
                <c:pt idx="0">
                  <c:v>Chemicals</c:v>
                </c:pt>
                <c:pt idx="1">
                  <c:v>Electronics</c:v>
                </c:pt>
                <c:pt idx="2">
                  <c:v>Mechanical</c:v>
                </c:pt>
                <c:pt idx="3">
                  <c:v>Packaging</c:v>
                </c:pt>
                <c:pt idx="4">
                  <c:v>Plastic</c:v>
                </c:pt>
                <c:pt idx="5">
                  <c:v>Raw Materials</c:v>
                </c:pt>
              </c:strCache>
            </c:strRef>
          </c:cat>
          <c:val>
            <c:numRef>
              <c:f>[1]_Data!$F$2:$F$7</c:f>
              <c:numCache>
                <c:formatCode>General</c:formatCode>
                <c:ptCount val="6"/>
                <c:pt idx="0">
                  <c:v>21.79</c:v>
                </c:pt>
                <c:pt idx="1">
                  <c:v>13.13</c:v>
                </c:pt>
                <c:pt idx="2">
                  <c:v>26.25</c:v>
                </c:pt>
                <c:pt idx="3">
                  <c:v>10.65</c:v>
                </c:pt>
                <c:pt idx="4">
                  <c:v>24.81</c:v>
                </c:pt>
                <c:pt idx="5">
                  <c:v>3.36</c:v>
                </c:pt>
              </c:numCache>
            </c:numRef>
          </c:val>
          <c:extLst>
            <c:ext xmlns:c16="http://schemas.microsoft.com/office/drawing/2014/chart" uri="{C3380CC4-5D6E-409C-BE32-E72D297353CC}">
              <c16:uniqueId val="{0000000C-4220-44B8-A007-5BE616532FCB}"/>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Inventory Value by Warehouse</a:t>
            </a:r>
          </a:p>
        </c:rich>
      </c:tx>
      <c:overlay val="1"/>
    </c:title>
    <c:autoTitleDeleted val="0"/>
    <c:plotArea>
      <c:layout/>
      <c:doughnutChart>
        <c:varyColors val="1"/>
        <c:ser>
          <c:idx val="0"/>
          <c:order val="0"/>
          <c:tx>
            <c:strRef>
              <c:f>[1]_Data!$J$1</c:f>
              <c:strCache>
                <c:ptCount val="1"/>
                <c:pt idx="0">
                  <c:v>InvValue</c:v>
                </c:pt>
              </c:strCache>
            </c:strRef>
          </c:tx>
          <c:spPr>
            <a:ln>
              <a:prstDash val="solid"/>
            </a:ln>
          </c:spPr>
          <c:dPt>
            <c:idx val="0"/>
            <c:bubble3D val="0"/>
            <c:spPr>
              <a:solidFill>
                <a:srgbClr val="2980B9"/>
              </a:solidFill>
              <a:ln>
                <a:prstDash val="solid"/>
              </a:ln>
            </c:spPr>
            <c:extLst>
              <c:ext xmlns:c16="http://schemas.microsoft.com/office/drawing/2014/chart" uri="{C3380CC4-5D6E-409C-BE32-E72D297353CC}">
                <c16:uniqueId val="{00000001-8BFE-4AE2-B020-1A7FB4D6111E}"/>
              </c:ext>
            </c:extLst>
          </c:dPt>
          <c:dPt>
            <c:idx val="1"/>
            <c:bubble3D val="0"/>
            <c:spPr>
              <a:solidFill>
                <a:srgbClr val="E74C3C"/>
              </a:solidFill>
              <a:ln>
                <a:prstDash val="solid"/>
              </a:ln>
            </c:spPr>
            <c:extLst>
              <c:ext xmlns:c16="http://schemas.microsoft.com/office/drawing/2014/chart" uri="{C3380CC4-5D6E-409C-BE32-E72D297353CC}">
                <c16:uniqueId val="{00000003-8BFE-4AE2-B020-1A7FB4D6111E}"/>
              </c:ext>
            </c:extLst>
          </c:dPt>
          <c:dPt>
            <c:idx val="2"/>
            <c:bubble3D val="0"/>
            <c:spPr>
              <a:solidFill>
                <a:srgbClr val="27AE60"/>
              </a:solidFill>
              <a:ln>
                <a:prstDash val="solid"/>
              </a:ln>
            </c:spPr>
            <c:extLst>
              <c:ext xmlns:c16="http://schemas.microsoft.com/office/drawing/2014/chart" uri="{C3380CC4-5D6E-409C-BE32-E72D297353CC}">
                <c16:uniqueId val="{00000005-8BFE-4AE2-B020-1A7FB4D6111E}"/>
              </c:ext>
            </c:extLst>
          </c:dPt>
          <c:dPt>
            <c:idx val="3"/>
            <c:bubble3D val="0"/>
            <c:spPr>
              <a:solidFill>
                <a:srgbClr val="8E44AD"/>
              </a:solidFill>
              <a:ln>
                <a:prstDash val="solid"/>
              </a:ln>
            </c:spPr>
            <c:extLst>
              <c:ext xmlns:c16="http://schemas.microsoft.com/office/drawing/2014/chart" uri="{C3380CC4-5D6E-409C-BE32-E72D297353CC}">
                <c16:uniqueId val="{00000007-8BFE-4AE2-B020-1A7FB4D6111E}"/>
              </c:ext>
            </c:extLst>
          </c:dPt>
          <c:dPt>
            <c:idx val="4"/>
            <c:bubble3D val="0"/>
            <c:spPr>
              <a:solidFill>
                <a:srgbClr val="E67E22"/>
              </a:solidFill>
              <a:ln>
                <a:prstDash val="solid"/>
              </a:ln>
            </c:spPr>
            <c:extLst>
              <c:ext xmlns:c16="http://schemas.microsoft.com/office/drawing/2014/chart" uri="{C3380CC4-5D6E-409C-BE32-E72D297353CC}">
                <c16:uniqueId val="{00000009-8BFE-4AE2-B020-1A7FB4D6111E}"/>
              </c:ext>
            </c:extLst>
          </c:dPt>
          <c:dLbls>
            <c:spPr>
              <a:noFill/>
              <a:ln>
                <a:noFill/>
              </a:ln>
              <a:effectLst/>
            </c:spPr>
            <c:showLegendKey val="1"/>
            <c:showVal val="0"/>
            <c:showCatName val="0"/>
            <c:showSerName val="1"/>
            <c:showPercent val="1"/>
            <c:showBubbleSize val="1"/>
            <c:showLeaderLines val="1"/>
            <c:extLst>
              <c:ext xmlns:c15="http://schemas.microsoft.com/office/drawing/2012/chart" uri="{CE6537A1-D6FC-4f65-9D91-7224C49458BB}"/>
            </c:extLst>
          </c:dLbls>
          <c:cat>
            <c:strRef>
              <c:f>[1]_Data!$H$2:$H$6</c:f>
              <c:strCache>
                <c:ptCount val="5"/>
                <c:pt idx="0">
                  <c:v>Atlanta</c:v>
                </c:pt>
                <c:pt idx="1">
                  <c:v>Chicago</c:v>
                </c:pt>
                <c:pt idx="2">
                  <c:v>Dallas</c:v>
                </c:pt>
                <c:pt idx="3">
                  <c:v>New York</c:v>
                </c:pt>
                <c:pt idx="4">
                  <c:v>Phoenix</c:v>
                </c:pt>
              </c:strCache>
            </c:strRef>
          </c:cat>
          <c:val>
            <c:numRef>
              <c:f>[1]_Data!$J$2:$J$6</c:f>
              <c:numCache>
                <c:formatCode>General</c:formatCode>
                <c:ptCount val="5"/>
                <c:pt idx="0">
                  <c:v>5518326</c:v>
                </c:pt>
                <c:pt idx="1">
                  <c:v>5316735</c:v>
                </c:pt>
                <c:pt idx="2">
                  <c:v>5345001</c:v>
                </c:pt>
                <c:pt idx="3">
                  <c:v>3453029</c:v>
                </c:pt>
                <c:pt idx="4">
                  <c:v>5065831</c:v>
                </c:pt>
              </c:numCache>
            </c:numRef>
          </c:val>
          <c:extLst>
            <c:ext xmlns:c16="http://schemas.microsoft.com/office/drawing/2014/chart" uri="{C3380CC4-5D6E-409C-BE32-E72D297353CC}">
              <c16:uniqueId val="{0000000A-8BFE-4AE2-B020-1A7FB4D6111E}"/>
            </c:ext>
          </c:extLst>
        </c:ser>
        <c:dLbls>
          <c:showLegendKey val="0"/>
          <c:showVal val="0"/>
          <c:showCatName val="0"/>
          <c:showSerName val="0"/>
          <c:showPercent val="0"/>
          <c:showBubbleSize val="0"/>
          <c:showLeaderLines val="1"/>
        </c:dLbls>
        <c:firstSliceAng val="0"/>
        <c:holeSize val="40"/>
      </c:doughnutChart>
    </c:plotArea>
    <c:legend>
      <c:legendPos val="r"/>
      <c:overlay val="1"/>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[Dashboard.xlsx]KPIs!Monthly_Spend</c:name>
    <c:fmtId val="0"/>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sz="1400" b="1" i="0" u="none" strike="noStrike" baseline="0">
                <a:solidFill>
                  <a:schemeClr val="accent1"/>
                </a:solidFill>
              </a:rPr>
              <a:t>Monthly Purchase Spend</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KPIs!$B$18:$B$30</c:f>
              <c:numCache>
                <c:formatCode>General</c:formatCode>
                <c:ptCount val="12"/>
                <c:pt idx="0">
                  <c:v>1743132</c:v>
                </c:pt>
                <c:pt idx="1">
                  <c:v>915804</c:v>
                </c:pt>
                <c:pt idx="2">
                  <c:v>792360</c:v>
                </c:pt>
                <c:pt idx="3">
                  <c:v>864086</c:v>
                </c:pt>
                <c:pt idx="4">
                  <c:v>1541075</c:v>
                </c:pt>
                <c:pt idx="5">
                  <c:v>971692</c:v>
                </c:pt>
                <c:pt idx="6">
                  <c:v>1145358</c:v>
                </c:pt>
                <c:pt idx="7">
                  <c:v>708923</c:v>
                </c:pt>
                <c:pt idx="8">
                  <c:v>1210333</c:v>
                </c:pt>
                <c:pt idx="9">
                  <c:v>945460</c:v>
                </c:pt>
                <c:pt idx="10">
                  <c:v>1073550</c:v>
                </c:pt>
                <c:pt idx="11">
                  <c:v>494296</c:v>
                </c:pt>
              </c:numCache>
            </c:numRef>
          </c:val>
          <c:extLst>
            <c:ext xmlns:c16="http://schemas.microsoft.com/office/drawing/2014/chart" uri="{C3380CC4-5D6E-409C-BE32-E72D297353CC}">
              <c16:uniqueId val="{00000000-2C03-4FF7-97DB-F4E4EA23F99C}"/>
            </c:ext>
          </c:extLst>
        </c:ser>
        <c:dLbls>
          <c:dLblPos val="outEnd"/>
          <c:showLegendKey val="0"/>
          <c:showVal val="1"/>
          <c:showCatName val="0"/>
          <c:showSerName val="0"/>
          <c:showPercent val="0"/>
          <c:showBubbleSize val="0"/>
        </c:dLbls>
        <c:gapWidth val="219"/>
        <c:overlap val="-27"/>
        <c:axId val="451874687"/>
        <c:axId val="451875167"/>
      </c:barChart>
      <c:catAx>
        <c:axId val="45187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451875167"/>
        <c:crosses val="autoZero"/>
        <c:auto val="1"/>
        <c:lblAlgn val="ctr"/>
        <c:lblOffset val="100"/>
        <c:noMultiLvlLbl val="0"/>
      </c:catAx>
      <c:valAx>
        <c:axId val="451875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451874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[Dashboard.xlsx]KPIs!PivotTable6</c:name>
    <c:fmtId val="0"/>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sz="1400" b="0" i="0" u="none" strike="noStrike" baseline="0">
                <a:solidFill>
                  <a:schemeClr val="accent1">
                    <a:lumMod val="75000"/>
                  </a:schemeClr>
                </a:solidFill>
              </a:rPr>
              <a:t>Spend by Category</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KPIs!$Z$17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KPIs!$Y$18:$Y$24</c:f>
              <c:strCache>
                <c:ptCount val="6"/>
                <c:pt idx="0">
                  <c:v>Chemicals</c:v>
                </c:pt>
                <c:pt idx="1">
                  <c:v>Electronics</c:v>
                </c:pt>
                <c:pt idx="2">
                  <c:v>Mechanical</c:v>
                </c:pt>
                <c:pt idx="3">
                  <c:v>Packaging</c:v>
                </c:pt>
                <c:pt idx="4">
                  <c:v>Plastic</c:v>
                </c:pt>
                <c:pt idx="5">
                  <c:v>Raw Materials</c:v>
                </c:pt>
              </c:strCache>
            </c:strRef>
          </c:cat>
          <c:val>
            <c:numRef>
              <c:f>KPIs!$Z$18:$Z$24</c:f>
              <c:numCache>
                <c:formatCode>0.00%</c:formatCode>
                <c:ptCount val="6"/>
                <c:pt idx="0">
                  <c:v>0.21794002596632342</c:v>
                </c:pt>
                <c:pt idx="1">
                  <c:v>0.13133152814158941</c:v>
                </c:pt>
                <c:pt idx="2">
                  <c:v>0.26246508865942952</c:v>
                </c:pt>
                <c:pt idx="3">
                  <c:v>0.10653398751852823</c:v>
                </c:pt>
                <c:pt idx="4">
                  <c:v>0.24813556977637316</c:v>
                </c:pt>
                <c:pt idx="5">
                  <c:v>3.3593799937756269E-2</c:v>
                </c:pt>
              </c:numCache>
            </c:numRef>
          </c:val>
          <c:extLst>
            <c:ext xmlns:c16="http://schemas.microsoft.com/office/drawing/2014/chart" uri="{C3380CC4-5D6E-409C-BE32-E72D297353CC}">
              <c16:uniqueId val="{00000000-9F20-4B73-BE6E-6084A4672F2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[Dashboard.xlsx]KPIs!Supplier_Performance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accent1">
                    <a:lumMod val="75000"/>
                  </a:schemeClr>
                </a:solidFill>
              </a:rPr>
              <a:t>Supplier Rating &amp; Lead Time</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KPIs!$E$17</c:f>
              <c:strCache>
                <c:ptCount val="1"/>
                <c:pt idx="0">
                  <c:v>Average of Supplier_Rating</c:v>
                </c:pt>
              </c:strCache>
            </c:strRef>
          </c:tx>
          <c:spPr>
            <a:solidFill>
              <a:schemeClr val="accent1"/>
            </a:solidFill>
            <a:ln>
              <a:noFill/>
            </a:ln>
            <a:effectLst/>
            <a:sp3d/>
          </c:spPr>
          <c:invertIfNegative val="0"/>
          <c:cat>
            <c:strRef>
              <c:f>KPIs!$D$18:$D$68</c:f>
              <c:strCache>
                <c:ptCount val="50"/>
                <c:pt idx="0">
                  <c:v>Adams-Day</c:v>
                </c:pt>
                <c:pt idx="1">
                  <c:v>Anderson, Little And Woodward</c:v>
                </c:pt>
                <c:pt idx="2">
                  <c:v>Banks, Carter And Alexander</c:v>
                </c:pt>
                <c:pt idx="3">
                  <c:v>Barnett Ltd</c:v>
                </c:pt>
                <c:pt idx="4">
                  <c:v>Berg, Caldwell And Wood</c:v>
                </c:pt>
                <c:pt idx="5">
                  <c:v>Black-Figueroa</c:v>
                </c:pt>
                <c:pt idx="6">
                  <c:v>Cooper, Monroe And Gutierrez</c:v>
                </c:pt>
                <c:pt idx="7">
                  <c:v>Davis, Ross And Gillespie</c:v>
                </c:pt>
                <c:pt idx="8">
                  <c:v>Delgado-Smith</c:v>
                </c:pt>
                <c:pt idx="9">
                  <c:v>Duncan, Fry And Wade</c:v>
                </c:pt>
                <c:pt idx="10">
                  <c:v>Elliott-Carr</c:v>
                </c:pt>
                <c:pt idx="11">
                  <c:v>French-Johnson</c:v>
                </c:pt>
                <c:pt idx="12">
                  <c:v>Gallagher-Crane</c:v>
                </c:pt>
                <c:pt idx="13">
                  <c:v>Galvan-Brown</c:v>
                </c:pt>
                <c:pt idx="14">
                  <c:v>Garrison-Fowler</c:v>
                </c:pt>
                <c:pt idx="15">
                  <c:v>Gonzales, Patterson And Clark</c:v>
                </c:pt>
                <c:pt idx="16">
                  <c:v>Hamilton Llc</c:v>
                </c:pt>
                <c:pt idx="17">
                  <c:v>Harris-Shelton</c:v>
                </c:pt>
                <c:pt idx="18">
                  <c:v>Hunt Llc</c:v>
                </c:pt>
                <c:pt idx="19">
                  <c:v>Huynh, Lopez And Jones</c:v>
                </c:pt>
                <c:pt idx="20">
                  <c:v>Johnson, Terrell And Moore</c:v>
                </c:pt>
                <c:pt idx="21">
                  <c:v>Klein, Hayes And Short</c:v>
                </c:pt>
                <c:pt idx="22">
                  <c:v>Lindsey And Sons</c:v>
                </c:pt>
                <c:pt idx="23">
                  <c:v>Martinez-Warren</c:v>
                </c:pt>
                <c:pt idx="24">
                  <c:v>Meyer, Ellis And Garcia</c:v>
                </c:pt>
                <c:pt idx="25">
                  <c:v>Miller And Sons</c:v>
                </c:pt>
                <c:pt idx="26">
                  <c:v>Miller, Jones And Washington</c:v>
                </c:pt>
                <c:pt idx="27">
                  <c:v>Miller-Lawrence</c:v>
                </c:pt>
                <c:pt idx="28">
                  <c:v>Mills, Russell And Fischer</c:v>
                </c:pt>
                <c:pt idx="29">
                  <c:v>Mitchell Llc</c:v>
                </c:pt>
                <c:pt idx="30">
                  <c:v>Moody-Moore</c:v>
                </c:pt>
                <c:pt idx="31">
                  <c:v>Morris, Richards And Martin</c:v>
                </c:pt>
                <c:pt idx="32">
                  <c:v>Owen Llc</c:v>
                </c:pt>
                <c:pt idx="33">
                  <c:v>Quinn Llc</c:v>
                </c:pt>
                <c:pt idx="34">
                  <c:v>Reyes, Perez And Morgan</c:v>
                </c:pt>
                <c:pt idx="35">
                  <c:v>Rodriguez Ltd</c:v>
                </c:pt>
                <c:pt idx="36">
                  <c:v>Rodriguez-Harris</c:v>
                </c:pt>
                <c:pt idx="37">
                  <c:v>Santos And Sons</c:v>
                </c:pt>
                <c:pt idx="38">
                  <c:v>Scott, Brooks And Howell</c:v>
                </c:pt>
                <c:pt idx="39">
                  <c:v>Snyder-Davis</c:v>
                </c:pt>
                <c:pt idx="40">
                  <c:v>Tate Plc</c:v>
                </c:pt>
                <c:pt idx="41">
                  <c:v>Valdez Inc</c:v>
                </c:pt>
                <c:pt idx="42">
                  <c:v>Velez Plc</c:v>
                </c:pt>
                <c:pt idx="43">
                  <c:v>Webb-Robinson</c:v>
                </c:pt>
                <c:pt idx="44">
                  <c:v>White Llc</c:v>
                </c:pt>
                <c:pt idx="45">
                  <c:v>Wiggins, Flores And Wright</c:v>
                </c:pt>
                <c:pt idx="46">
                  <c:v>Williams, Chavez And Barker</c:v>
                </c:pt>
                <c:pt idx="47">
                  <c:v>Williams-Cruz</c:v>
                </c:pt>
                <c:pt idx="48">
                  <c:v>Willis-Nicholson</c:v>
                </c:pt>
                <c:pt idx="49">
                  <c:v>Zimmerman Group</c:v>
                </c:pt>
              </c:strCache>
            </c:strRef>
          </c:cat>
          <c:val>
            <c:numRef>
              <c:f>KPIs!$E$18:$E$68</c:f>
              <c:numCache>
                <c:formatCode>General</c:formatCode>
                <c:ptCount val="50"/>
                <c:pt idx="0">
                  <c:v>4.0999999999999996</c:v>
                </c:pt>
                <c:pt idx="1">
                  <c:v>5</c:v>
                </c:pt>
                <c:pt idx="2">
                  <c:v>4.9000000000000004</c:v>
                </c:pt>
                <c:pt idx="3">
                  <c:v>4.0999999999999996</c:v>
                </c:pt>
                <c:pt idx="4">
                  <c:v>4.7</c:v>
                </c:pt>
                <c:pt idx="5">
                  <c:v>4.9000000000000004</c:v>
                </c:pt>
                <c:pt idx="6">
                  <c:v>4.5</c:v>
                </c:pt>
                <c:pt idx="7">
                  <c:v>3.5</c:v>
                </c:pt>
                <c:pt idx="8">
                  <c:v>3.8</c:v>
                </c:pt>
                <c:pt idx="9">
                  <c:v>3.8</c:v>
                </c:pt>
                <c:pt idx="10">
                  <c:v>4.4000000000000004</c:v>
                </c:pt>
                <c:pt idx="11">
                  <c:v>4.0999999999999996</c:v>
                </c:pt>
                <c:pt idx="12">
                  <c:v>3.9</c:v>
                </c:pt>
                <c:pt idx="13">
                  <c:v>5</c:v>
                </c:pt>
                <c:pt idx="14">
                  <c:v>3.7</c:v>
                </c:pt>
                <c:pt idx="15">
                  <c:v>3.7</c:v>
                </c:pt>
                <c:pt idx="16">
                  <c:v>3.5</c:v>
                </c:pt>
                <c:pt idx="17">
                  <c:v>4.5</c:v>
                </c:pt>
                <c:pt idx="18">
                  <c:v>4.5999999999999996</c:v>
                </c:pt>
                <c:pt idx="19">
                  <c:v>3.9</c:v>
                </c:pt>
                <c:pt idx="20">
                  <c:v>4.3</c:v>
                </c:pt>
                <c:pt idx="21">
                  <c:v>4.0999999999999996</c:v>
                </c:pt>
                <c:pt idx="22">
                  <c:v>4.8</c:v>
                </c:pt>
                <c:pt idx="23">
                  <c:v>4.2</c:v>
                </c:pt>
                <c:pt idx="24">
                  <c:v>3.7</c:v>
                </c:pt>
                <c:pt idx="25">
                  <c:v>4.3</c:v>
                </c:pt>
                <c:pt idx="26">
                  <c:v>3.9</c:v>
                </c:pt>
                <c:pt idx="27">
                  <c:v>4.3</c:v>
                </c:pt>
                <c:pt idx="28">
                  <c:v>4.5999999999999996</c:v>
                </c:pt>
                <c:pt idx="29">
                  <c:v>4.0999999999999996</c:v>
                </c:pt>
                <c:pt idx="30">
                  <c:v>4</c:v>
                </c:pt>
                <c:pt idx="31">
                  <c:v>4.2</c:v>
                </c:pt>
                <c:pt idx="32">
                  <c:v>4.4000000000000004</c:v>
                </c:pt>
                <c:pt idx="33">
                  <c:v>4.0999999999999996</c:v>
                </c:pt>
                <c:pt idx="34">
                  <c:v>4.2</c:v>
                </c:pt>
                <c:pt idx="35">
                  <c:v>3.7</c:v>
                </c:pt>
                <c:pt idx="36">
                  <c:v>4.5999999999999996</c:v>
                </c:pt>
                <c:pt idx="37">
                  <c:v>4.5999999999999996</c:v>
                </c:pt>
                <c:pt idx="38">
                  <c:v>4.8</c:v>
                </c:pt>
                <c:pt idx="39">
                  <c:v>3.5</c:v>
                </c:pt>
                <c:pt idx="40">
                  <c:v>4.5999999999999996</c:v>
                </c:pt>
                <c:pt idx="41">
                  <c:v>4.9000000000000004</c:v>
                </c:pt>
                <c:pt idx="42">
                  <c:v>3.9</c:v>
                </c:pt>
                <c:pt idx="43">
                  <c:v>4.0999999999999996</c:v>
                </c:pt>
                <c:pt idx="44">
                  <c:v>4.8</c:v>
                </c:pt>
                <c:pt idx="45">
                  <c:v>4.7</c:v>
                </c:pt>
                <c:pt idx="46">
                  <c:v>3.9</c:v>
                </c:pt>
                <c:pt idx="47">
                  <c:v>3.6</c:v>
                </c:pt>
                <c:pt idx="48">
                  <c:v>3.9</c:v>
                </c:pt>
                <c:pt idx="49">
                  <c:v>3.6</c:v>
                </c:pt>
              </c:numCache>
            </c:numRef>
          </c:val>
          <c:extLst>
            <c:ext xmlns:c16="http://schemas.microsoft.com/office/drawing/2014/chart" uri="{C3380CC4-5D6E-409C-BE32-E72D297353CC}">
              <c16:uniqueId val="{00000000-0A14-4A48-92BB-EB8307888775}"/>
            </c:ext>
          </c:extLst>
        </c:ser>
        <c:ser>
          <c:idx val="1"/>
          <c:order val="1"/>
          <c:tx>
            <c:strRef>
              <c:f>KPIs!$F$17</c:f>
              <c:strCache>
                <c:ptCount val="1"/>
                <c:pt idx="0">
                  <c:v>Average of Lead_Time_Days</c:v>
                </c:pt>
              </c:strCache>
            </c:strRef>
          </c:tx>
          <c:spPr>
            <a:solidFill>
              <a:schemeClr val="accent2"/>
            </a:solidFill>
            <a:ln>
              <a:noFill/>
            </a:ln>
            <a:effectLst/>
            <a:sp3d/>
          </c:spPr>
          <c:invertIfNegative val="0"/>
          <c:cat>
            <c:strRef>
              <c:f>KPIs!$D$18:$D$68</c:f>
              <c:strCache>
                <c:ptCount val="50"/>
                <c:pt idx="0">
                  <c:v>Adams-Day</c:v>
                </c:pt>
                <c:pt idx="1">
                  <c:v>Anderson, Little And Woodward</c:v>
                </c:pt>
                <c:pt idx="2">
                  <c:v>Banks, Carter And Alexander</c:v>
                </c:pt>
                <c:pt idx="3">
                  <c:v>Barnett Ltd</c:v>
                </c:pt>
                <c:pt idx="4">
                  <c:v>Berg, Caldwell And Wood</c:v>
                </c:pt>
                <c:pt idx="5">
                  <c:v>Black-Figueroa</c:v>
                </c:pt>
                <c:pt idx="6">
                  <c:v>Cooper, Monroe And Gutierrez</c:v>
                </c:pt>
                <c:pt idx="7">
                  <c:v>Davis, Ross And Gillespie</c:v>
                </c:pt>
                <c:pt idx="8">
                  <c:v>Delgado-Smith</c:v>
                </c:pt>
                <c:pt idx="9">
                  <c:v>Duncan, Fry And Wade</c:v>
                </c:pt>
                <c:pt idx="10">
                  <c:v>Elliott-Carr</c:v>
                </c:pt>
                <c:pt idx="11">
                  <c:v>French-Johnson</c:v>
                </c:pt>
                <c:pt idx="12">
                  <c:v>Gallagher-Crane</c:v>
                </c:pt>
                <c:pt idx="13">
                  <c:v>Galvan-Brown</c:v>
                </c:pt>
                <c:pt idx="14">
                  <c:v>Garrison-Fowler</c:v>
                </c:pt>
                <c:pt idx="15">
                  <c:v>Gonzales, Patterson And Clark</c:v>
                </c:pt>
                <c:pt idx="16">
                  <c:v>Hamilton Llc</c:v>
                </c:pt>
                <c:pt idx="17">
                  <c:v>Harris-Shelton</c:v>
                </c:pt>
                <c:pt idx="18">
                  <c:v>Hunt Llc</c:v>
                </c:pt>
                <c:pt idx="19">
                  <c:v>Huynh, Lopez And Jones</c:v>
                </c:pt>
                <c:pt idx="20">
                  <c:v>Johnson, Terrell And Moore</c:v>
                </c:pt>
                <c:pt idx="21">
                  <c:v>Klein, Hayes And Short</c:v>
                </c:pt>
                <c:pt idx="22">
                  <c:v>Lindsey And Sons</c:v>
                </c:pt>
                <c:pt idx="23">
                  <c:v>Martinez-Warren</c:v>
                </c:pt>
                <c:pt idx="24">
                  <c:v>Meyer, Ellis And Garcia</c:v>
                </c:pt>
                <c:pt idx="25">
                  <c:v>Miller And Sons</c:v>
                </c:pt>
                <c:pt idx="26">
                  <c:v>Miller, Jones And Washington</c:v>
                </c:pt>
                <c:pt idx="27">
                  <c:v>Miller-Lawrence</c:v>
                </c:pt>
                <c:pt idx="28">
                  <c:v>Mills, Russell And Fischer</c:v>
                </c:pt>
                <c:pt idx="29">
                  <c:v>Mitchell Llc</c:v>
                </c:pt>
                <c:pt idx="30">
                  <c:v>Moody-Moore</c:v>
                </c:pt>
                <c:pt idx="31">
                  <c:v>Morris, Richards And Martin</c:v>
                </c:pt>
                <c:pt idx="32">
                  <c:v>Owen Llc</c:v>
                </c:pt>
                <c:pt idx="33">
                  <c:v>Quinn Llc</c:v>
                </c:pt>
                <c:pt idx="34">
                  <c:v>Reyes, Perez And Morgan</c:v>
                </c:pt>
                <c:pt idx="35">
                  <c:v>Rodriguez Ltd</c:v>
                </c:pt>
                <c:pt idx="36">
                  <c:v>Rodriguez-Harris</c:v>
                </c:pt>
                <c:pt idx="37">
                  <c:v>Santos And Sons</c:v>
                </c:pt>
                <c:pt idx="38">
                  <c:v>Scott, Brooks And Howell</c:v>
                </c:pt>
                <c:pt idx="39">
                  <c:v>Snyder-Davis</c:v>
                </c:pt>
                <c:pt idx="40">
                  <c:v>Tate Plc</c:v>
                </c:pt>
                <c:pt idx="41">
                  <c:v>Valdez Inc</c:v>
                </c:pt>
                <c:pt idx="42">
                  <c:v>Velez Plc</c:v>
                </c:pt>
                <c:pt idx="43">
                  <c:v>Webb-Robinson</c:v>
                </c:pt>
                <c:pt idx="44">
                  <c:v>White Llc</c:v>
                </c:pt>
                <c:pt idx="45">
                  <c:v>Wiggins, Flores And Wright</c:v>
                </c:pt>
                <c:pt idx="46">
                  <c:v>Williams, Chavez And Barker</c:v>
                </c:pt>
                <c:pt idx="47">
                  <c:v>Williams-Cruz</c:v>
                </c:pt>
                <c:pt idx="48">
                  <c:v>Willis-Nicholson</c:v>
                </c:pt>
                <c:pt idx="49">
                  <c:v>Zimmerman Group</c:v>
                </c:pt>
              </c:strCache>
            </c:strRef>
          </c:cat>
          <c:val>
            <c:numRef>
              <c:f>KPIs!$F$18:$F$68</c:f>
              <c:numCache>
                <c:formatCode>General</c:formatCode>
                <c:ptCount val="50"/>
                <c:pt idx="0">
                  <c:v>12</c:v>
                </c:pt>
                <c:pt idx="1">
                  <c:v>11</c:v>
                </c:pt>
                <c:pt idx="2">
                  <c:v>18</c:v>
                </c:pt>
                <c:pt idx="3">
                  <c:v>25</c:v>
                </c:pt>
                <c:pt idx="4">
                  <c:v>4</c:v>
                </c:pt>
                <c:pt idx="5">
                  <c:v>9</c:v>
                </c:pt>
                <c:pt idx="6">
                  <c:v>6</c:v>
                </c:pt>
                <c:pt idx="7">
                  <c:v>10</c:v>
                </c:pt>
                <c:pt idx="8">
                  <c:v>23</c:v>
                </c:pt>
                <c:pt idx="9">
                  <c:v>5</c:v>
                </c:pt>
                <c:pt idx="10">
                  <c:v>17</c:v>
                </c:pt>
                <c:pt idx="11">
                  <c:v>5</c:v>
                </c:pt>
                <c:pt idx="12">
                  <c:v>19</c:v>
                </c:pt>
                <c:pt idx="13">
                  <c:v>10</c:v>
                </c:pt>
                <c:pt idx="14">
                  <c:v>20</c:v>
                </c:pt>
                <c:pt idx="15">
                  <c:v>13</c:v>
                </c:pt>
                <c:pt idx="16">
                  <c:v>16</c:v>
                </c:pt>
                <c:pt idx="17">
                  <c:v>6</c:v>
                </c:pt>
                <c:pt idx="18">
                  <c:v>14</c:v>
                </c:pt>
                <c:pt idx="19">
                  <c:v>11</c:v>
                </c:pt>
                <c:pt idx="20">
                  <c:v>8</c:v>
                </c:pt>
                <c:pt idx="21">
                  <c:v>5</c:v>
                </c:pt>
                <c:pt idx="22">
                  <c:v>19</c:v>
                </c:pt>
                <c:pt idx="23">
                  <c:v>19</c:v>
                </c:pt>
                <c:pt idx="24">
                  <c:v>11</c:v>
                </c:pt>
                <c:pt idx="25">
                  <c:v>10</c:v>
                </c:pt>
                <c:pt idx="26">
                  <c:v>22</c:v>
                </c:pt>
                <c:pt idx="27">
                  <c:v>17</c:v>
                </c:pt>
                <c:pt idx="28">
                  <c:v>20</c:v>
                </c:pt>
                <c:pt idx="29">
                  <c:v>17</c:v>
                </c:pt>
                <c:pt idx="30">
                  <c:v>5</c:v>
                </c:pt>
                <c:pt idx="31">
                  <c:v>23</c:v>
                </c:pt>
                <c:pt idx="32">
                  <c:v>7</c:v>
                </c:pt>
                <c:pt idx="33">
                  <c:v>6</c:v>
                </c:pt>
                <c:pt idx="34">
                  <c:v>13</c:v>
                </c:pt>
                <c:pt idx="35">
                  <c:v>14</c:v>
                </c:pt>
                <c:pt idx="36">
                  <c:v>9</c:v>
                </c:pt>
                <c:pt idx="37">
                  <c:v>20</c:v>
                </c:pt>
                <c:pt idx="38">
                  <c:v>13</c:v>
                </c:pt>
                <c:pt idx="39">
                  <c:v>17</c:v>
                </c:pt>
                <c:pt idx="40">
                  <c:v>9</c:v>
                </c:pt>
                <c:pt idx="41">
                  <c:v>5</c:v>
                </c:pt>
                <c:pt idx="42">
                  <c:v>24</c:v>
                </c:pt>
                <c:pt idx="43">
                  <c:v>21</c:v>
                </c:pt>
                <c:pt idx="44">
                  <c:v>12</c:v>
                </c:pt>
                <c:pt idx="45">
                  <c:v>10</c:v>
                </c:pt>
                <c:pt idx="46">
                  <c:v>12</c:v>
                </c:pt>
                <c:pt idx="47">
                  <c:v>5</c:v>
                </c:pt>
                <c:pt idx="48">
                  <c:v>20</c:v>
                </c:pt>
                <c:pt idx="49">
                  <c:v>18</c:v>
                </c:pt>
              </c:numCache>
            </c:numRef>
          </c:val>
          <c:extLst>
            <c:ext xmlns:c16="http://schemas.microsoft.com/office/drawing/2014/chart" uri="{C3380CC4-5D6E-409C-BE32-E72D297353CC}">
              <c16:uniqueId val="{00000001-0A14-4A48-92BB-EB8307888775}"/>
            </c:ext>
          </c:extLst>
        </c:ser>
        <c:dLbls>
          <c:showLegendKey val="0"/>
          <c:showVal val="0"/>
          <c:showCatName val="0"/>
          <c:showSerName val="0"/>
          <c:showPercent val="0"/>
          <c:showBubbleSize val="0"/>
        </c:dLbls>
        <c:gapWidth val="150"/>
        <c:shape val="box"/>
        <c:axId val="1279038815"/>
        <c:axId val="1279036895"/>
        <c:axId val="0"/>
      </c:bar3DChart>
      <c:catAx>
        <c:axId val="1279038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036895"/>
        <c:crosses val="autoZero"/>
        <c:auto val="1"/>
        <c:lblAlgn val="ctr"/>
        <c:lblOffset val="100"/>
        <c:noMultiLvlLbl val="0"/>
      </c:catAx>
      <c:valAx>
        <c:axId val="1279036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03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0" i="0" u="none" strike="noStrike" kern="1200" cap="none" spc="0" normalizeH="0" baseline="0" noProof="0">
                <a:ln>
                  <a:noFill/>
                </a:ln>
                <a:solidFill>
                  <a:srgbClr val="156082">
                    <a:lumMod val="75000"/>
                  </a:srgbClr>
                </a:solidFill>
                <a:effectLst/>
                <a:uLnTx/>
                <a:uFillTx/>
                <a:latin typeface="Aptos Narrow" panose="02110004020202020204"/>
              </a:rPr>
              <a:t>Purchases vs Payments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KPIs!$J$35:$J$234</c:f>
              <c:numCache>
                <c:formatCode>General</c:formatCode>
                <c:ptCount val="200"/>
                <c:pt idx="0">
                  <c:v>1653271.08</c:v>
                </c:pt>
                <c:pt idx="1">
                  <c:v>1121722.9200000002</c:v>
                </c:pt>
                <c:pt idx="2">
                  <c:v>1436405.7999999998</c:v>
                </c:pt>
                <c:pt idx="3">
                  <c:v>657403.99999999977</c:v>
                </c:pt>
                <c:pt idx="4">
                  <c:v>662515.67999999993</c:v>
                </c:pt>
                <c:pt idx="5">
                  <c:v>1653271.08</c:v>
                </c:pt>
                <c:pt idx="6">
                  <c:v>1044033.1200000001</c:v>
                </c:pt>
                <c:pt idx="7">
                  <c:v>657403.99999999977</c:v>
                </c:pt>
                <c:pt idx="8">
                  <c:v>1436405.7999999998</c:v>
                </c:pt>
                <c:pt idx="9">
                  <c:v>938369.04</c:v>
                </c:pt>
                <c:pt idx="10">
                  <c:v>1895543.0799999998</c:v>
                </c:pt>
                <c:pt idx="11">
                  <c:v>938369.04</c:v>
                </c:pt>
                <c:pt idx="12">
                  <c:v>634312.72</c:v>
                </c:pt>
                <c:pt idx="13">
                  <c:v>662515.67999999993</c:v>
                </c:pt>
                <c:pt idx="14">
                  <c:v>657403.99999999977</c:v>
                </c:pt>
                <c:pt idx="15">
                  <c:v>1653271.08</c:v>
                </c:pt>
                <c:pt idx="16">
                  <c:v>980107.32</c:v>
                </c:pt>
                <c:pt idx="17">
                  <c:v>1086456.5199999998</c:v>
                </c:pt>
                <c:pt idx="18">
                  <c:v>1044033.1200000001</c:v>
                </c:pt>
                <c:pt idx="19">
                  <c:v>1895543.0799999998</c:v>
                </c:pt>
                <c:pt idx="20">
                  <c:v>1121722.9200000002</c:v>
                </c:pt>
                <c:pt idx="21">
                  <c:v>1895543.0799999998</c:v>
                </c:pt>
                <c:pt idx="22">
                  <c:v>662515.67999999993</c:v>
                </c:pt>
                <c:pt idx="23">
                  <c:v>1086456.5199999998</c:v>
                </c:pt>
                <c:pt idx="24">
                  <c:v>980107.32</c:v>
                </c:pt>
                <c:pt idx="25">
                  <c:v>938369.04</c:v>
                </c:pt>
                <c:pt idx="26">
                  <c:v>657403.99999999977</c:v>
                </c:pt>
                <c:pt idx="27">
                  <c:v>1436405.7999999998</c:v>
                </c:pt>
                <c:pt idx="28">
                  <c:v>1121722.9200000002</c:v>
                </c:pt>
                <c:pt idx="29">
                  <c:v>1044033.1200000001</c:v>
                </c:pt>
                <c:pt idx="30">
                  <c:v>1436405.7999999998</c:v>
                </c:pt>
                <c:pt idx="31">
                  <c:v>980107.32</c:v>
                </c:pt>
                <c:pt idx="32">
                  <c:v>1895543.0799999998</c:v>
                </c:pt>
                <c:pt idx="33">
                  <c:v>1436405.7999999998</c:v>
                </c:pt>
                <c:pt idx="34">
                  <c:v>662515.67999999993</c:v>
                </c:pt>
                <c:pt idx="35">
                  <c:v>1895543.0799999998</c:v>
                </c:pt>
                <c:pt idx="36">
                  <c:v>1653271.08</c:v>
                </c:pt>
                <c:pt idx="37">
                  <c:v>1044033.1200000001</c:v>
                </c:pt>
                <c:pt idx="38">
                  <c:v>980107.32</c:v>
                </c:pt>
                <c:pt idx="39">
                  <c:v>1895543.0799999998</c:v>
                </c:pt>
                <c:pt idx="40">
                  <c:v>1895543.0799999998</c:v>
                </c:pt>
                <c:pt idx="41">
                  <c:v>1653271.08</c:v>
                </c:pt>
                <c:pt idx="42">
                  <c:v>980107.32</c:v>
                </c:pt>
                <c:pt idx="43">
                  <c:v>938369.04</c:v>
                </c:pt>
                <c:pt idx="44">
                  <c:v>1086456.5199999998</c:v>
                </c:pt>
                <c:pt idx="45">
                  <c:v>1895543.0799999998</c:v>
                </c:pt>
                <c:pt idx="46">
                  <c:v>1044033.1200000001</c:v>
                </c:pt>
                <c:pt idx="47">
                  <c:v>18854</c:v>
                </c:pt>
                <c:pt idx="48">
                  <c:v>1895543.0799999998</c:v>
                </c:pt>
                <c:pt idx="49">
                  <c:v>634312.72</c:v>
                </c:pt>
                <c:pt idx="50">
                  <c:v>657403.99999999977</c:v>
                </c:pt>
                <c:pt idx="51">
                  <c:v>634312.72</c:v>
                </c:pt>
                <c:pt idx="52">
                  <c:v>1436405.7999999998</c:v>
                </c:pt>
                <c:pt idx="53">
                  <c:v>938369.04</c:v>
                </c:pt>
                <c:pt idx="54">
                  <c:v>1250323.24</c:v>
                </c:pt>
                <c:pt idx="55">
                  <c:v>1250323.24</c:v>
                </c:pt>
                <c:pt idx="56">
                  <c:v>1436405.7999999998</c:v>
                </c:pt>
                <c:pt idx="57">
                  <c:v>1044033.1200000001</c:v>
                </c:pt>
                <c:pt idx="58">
                  <c:v>1086456.5199999998</c:v>
                </c:pt>
                <c:pt idx="59">
                  <c:v>980107.32</c:v>
                </c:pt>
                <c:pt idx="60">
                  <c:v>1086456.5199999998</c:v>
                </c:pt>
                <c:pt idx="61">
                  <c:v>1121722.9200000002</c:v>
                </c:pt>
                <c:pt idx="62">
                  <c:v>1653271.08</c:v>
                </c:pt>
                <c:pt idx="63">
                  <c:v>1653271.08</c:v>
                </c:pt>
                <c:pt idx="64">
                  <c:v>1653271.08</c:v>
                </c:pt>
                <c:pt idx="65">
                  <c:v>1895543.0799999998</c:v>
                </c:pt>
                <c:pt idx="66">
                  <c:v>1121722.9200000002</c:v>
                </c:pt>
                <c:pt idx="67">
                  <c:v>1436405.7999999998</c:v>
                </c:pt>
                <c:pt idx="68">
                  <c:v>1121722.9200000002</c:v>
                </c:pt>
                <c:pt idx="69">
                  <c:v>657403.99999999977</c:v>
                </c:pt>
                <c:pt idx="70">
                  <c:v>1250323.24</c:v>
                </c:pt>
                <c:pt idx="71">
                  <c:v>1086456.5199999998</c:v>
                </c:pt>
                <c:pt idx="72">
                  <c:v>662515.67999999993</c:v>
                </c:pt>
                <c:pt idx="73">
                  <c:v>1250323.24</c:v>
                </c:pt>
                <c:pt idx="74">
                  <c:v>1250323.24</c:v>
                </c:pt>
                <c:pt idx="75">
                  <c:v>938369.04</c:v>
                </c:pt>
                <c:pt idx="76">
                  <c:v>1436405.7999999998</c:v>
                </c:pt>
                <c:pt idx="77">
                  <c:v>662515.67999999993</c:v>
                </c:pt>
                <c:pt idx="78">
                  <c:v>1086456.5199999998</c:v>
                </c:pt>
                <c:pt idx="79">
                  <c:v>634312.72</c:v>
                </c:pt>
                <c:pt idx="80">
                  <c:v>1895543.0799999998</c:v>
                </c:pt>
                <c:pt idx="81">
                  <c:v>1653271.08</c:v>
                </c:pt>
                <c:pt idx="82">
                  <c:v>1653271.08</c:v>
                </c:pt>
                <c:pt idx="83">
                  <c:v>938369.04</c:v>
                </c:pt>
                <c:pt idx="84">
                  <c:v>980107.32</c:v>
                </c:pt>
                <c:pt idx="85">
                  <c:v>1250323.24</c:v>
                </c:pt>
                <c:pt idx="86">
                  <c:v>980107.32</c:v>
                </c:pt>
                <c:pt idx="87">
                  <c:v>1436405.7999999998</c:v>
                </c:pt>
                <c:pt idx="88">
                  <c:v>980107.32</c:v>
                </c:pt>
                <c:pt idx="89">
                  <c:v>657403.99999999977</c:v>
                </c:pt>
                <c:pt idx="90">
                  <c:v>1121722.9200000002</c:v>
                </c:pt>
                <c:pt idx="91">
                  <c:v>938369.04</c:v>
                </c:pt>
                <c:pt idx="92">
                  <c:v>1895543.0799999998</c:v>
                </c:pt>
                <c:pt idx="93">
                  <c:v>657403.99999999977</c:v>
                </c:pt>
                <c:pt idx="94">
                  <c:v>1895543.0799999998</c:v>
                </c:pt>
                <c:pt idx="95">
                  <c:v>1436405.7999999998</c:v>
                </c:pt>
                <c:pt idx="96">
                  <c:v>1250323.24</c:v>
                </c:pt>
                <c:pt idx="97">
                  <c:v>1250323.24</c:v>
                </c:pt>
                <c:pt idx="98">
                  <c:v>634312.72</c:v>
                </c:pt>
                <c:pt idx="99">
                  <c:v>938369.04</c:v>
                </c:pt>
                <c:pt idx="100">
                  <c:v>1653271.08</c:v>
                </c:pt>
                <c:pt idx="101">
                  <c:v>1250323.24</c:v>
                </c:pt>
                <c:pt idx="102">
                  <c:v>1436405.7999999998</c:v>
                </c:pt>
                <c:pt idx="103">
                  <c:v>1653271.08</c:v>
                </c:pt>
                <c:pt idx="104">
                  <c:v>1121722.9200000002</c:v>
                </c:pt>
                <c:pt idx="105">
                  <c:v>980107.32</c:v>
                </c:pt>
                <c:pt idx="106">
                  <c:v>1086456.5199999998</c:v>
                </c:pt>
                <c:pt idx="107">
                  <c:v>1250323.24</c:v>
                </c:pt>
                <c:pt idx="108">
                  <c:v>1436405.7999999998</c:v>
                </c:pt>
                <c:pt idx="109">
                  <c:v>1895543.0799999998</c:v>
                </c:pt>
                <c:pt idx="110">
                  <c:v>980107.32</c:v>
                </c:pt>
                <c:pt idx="111">
                  <c:v>980107.32</c:v>
                </c:pt>
                <c:pt idx="112">
                  <c:v>1121722.9200000002</c:v>
                </c:pt>
                <c:pt idx="113">
                  <c:v>1121722.9200000002</c:v>
                </c:pt>
                <c:pt idx="114">
                  <c:v>938369.04</c:v>
                </c:pt>
                <c:pt idx="115">
                  <c:v>980107.32</c:v>
                </c:pt>
                <c:pt idx="116">
                  <c:v>1121722.9200000002</c:v>
                </c:pt>
                <c:pt idx="117">
                  <c:v>1653271.08</c:v>
                </c:pt>
                <c:pt idx="118">
                  <c:v>1121722.9200000002</c:v>
                </c:pt>
                <c:pt idx="119">
                  <c:v>938369.04</c:v>
                </c:pt>
                <c:pt idx="120">
                  <c:v>1044033.1200000001</c:v>
                </c:pt>
                <c:pt idx="121">
                  <c:v>1044033.1200000001</c:v>
                </c:pt>
                <c:pt idx="122">
                  <c:v>634312.72</c:v>
                </c:pt>
                <c:pt idx="123">
                  <c:v>1653271.08</c:v>
                </c:pt>
                <c:pt idx="124">
                  <c:v>938369.04</c:v>
                </c:pt>
                <c:pt idx="125">
                  <c:v>1436405.7999999998</c:v>
                </c:pt>
                <c:pt idx="126">
                  <c:v>1121722.9200000002</c:v>
                </c:pt>
                <c:pt idx="127">
                  <c:v>938369.04</c:v>
                </c:pt>
                <c:pt idx="128">
                  <c:v>1086456.5199999998</c:v>
                </c:pt>
                <c:pt idx="129">
                  <c:v>1653271.08</c:v>
                </c:pt>
                <c:pt idx="130">
                  <c:v>634312.72</c:v>
                </c:pt>
                <c:pt idx="131">
                  <c:v>1044033.1200000001</c:v>
                </c:pt>
                <c:pt idx="132">
                  <c:v>1653271.08</c:v>
                </c:pt>
                <c:pt idx="133">
                  <c:v>1121722.9200000002</c:v>
                </c:pt>
                <c:pt idx="134">
                  <c:v>1895543.0799999998</c:v>
                </c:pt>
                <c:pt idx="135">
                  <c:v>1895543.0799999998</c:v>
                </c:pt>
                <c:pt idx="136">
                  <c:v>1121722.9200000002</c:v>
                </c:pt>
                <c:pt idx="137">
                  <c:v>1250323.24</c:v>
                </c:pt>
                <c:pt idx="138">
                  <c:v>1086456.5199999998</c:v>
                </c:pt>
                <c:pt idx="139">
                  <c:v>1250323.24</c:v>
                </c:pt>
                <c:pt idx="140">
                  <c:v>662515.67999999993</c:v>
                </c:pt>
                <c:pt idx="141">
                  <c:v>1895543.0799999998</c:v>
                </c:pt>
                <c:pt idx="142">
                  <c:v>1250323.24</c:v>
                </c:pt>
                <c:pt idx="143">
                  <c:v>1250323.24</c:v>
                </c:pt>
                <c:pt idx="144">
                  <c:v>1086456.5199999998</c:v>
                </c:pt>
                <c:pt idx="145">
                  <c:v>1086456.5199999998</c:v>
                </c:pt>
                <c:pt idx="146">
                  <c:v>1121722.9200000002</c:v>
                </c:pt>
                <c:pt idx="147">
                  <c:v>1653271.08</c:v>
                </c:pt>
                <c:pt idx="148">
                  <c:v>1895543.0799999998</c:v>
                </c:pt>
                <c:pt idx="149">
                  <c:v>1895543.0799999998</c:v>
                </c:pt>
                <c:pt idx="150">
                  <c:v>1895543.0799999998</c:v>
                </c:pt>
                <c:pt idx="151">
                  <c:v>634312.72</c:v>
                </c:pt>
                <c:pt idx="152">
                  <c:v>634312.72</c:v>
                </c:pt>
                <c:pt idx="153">
                  <c:v>1250323.24</c:v>
                </c:pt>
                <c:pt idx="154">
                  <c:v>1895543.0799999998</c:v>
                </c:pt>
                <c:pt idx="155">
                  <c:v>1653271.08</c:v>
                </c:pt>
                <c:pt idx="156">
                  <c:v>1895543.0799999998</c:v>
                </c:pt>
                <c:pt idx="157">
                  <c:v>1086456.5199999998</c:v>
                </c:pt>
                <c:pt idx="158">
                  <c:v>1436405.7999999998</c:v>
                </c:pt>
                <c:pt idx="159">
                  <c:v>1895543.0799999998</c:v>
                </c:pt>
                <c:pt idx="160">
                  <c:v>1436405.7999999998</c:v>
                </c:pt>
                <c:pt idx="161">
                  <c:v>1121722.9200000002</c:v>
                </c:pt>
                <c:pt idx="162">
                  <c:v>1436405.7999999998</c:v>
                </c:pt>
                <c:pt idx="163">
                  <c:v>657403.99999999977</c:v>
                </c:pt>
                <c:pt idx="164">
                  <c:v>657403.99999999977</c:v>
                </c:pt>
                <c:pt idx="165">
                  <c:v>1044033.1200000001</c:v>
                </c:pt>
                <c:pt idx="166">
                  <c:v>980107.32</c:v>
                </c:pt>
                <c:pt idx="167">
                  <c:v>1086456.5199999998</c:v>
                </c:pt>
                <c:pt idx="168">
                  <c:v>1121722.9200000002</c:v>
                </c:pt>
                <c:pt idx="169">
                  <c:v>1895543.0799999998</c:v>
                </c:pt>
                <c:pt idx="170">
                  <c:v>1250323.24</c:v>
                </c:pt>
                <c:pt idx="171">
                  <c:v>634312.72</c:v>
                </c:pt>
                <c:pt idx="172">
                  <c:v>1653271.08</c:v>
                </c:pt>
                <c:pt idx="173">
                  <c:v>1121722.9200000002</c:v>
                </c:pt>
                <c:pt idx="174">
                  <c:v>1121722.9200000002</c:v>
                </c:pt>
                <c:pt idx="175">
                  <c:v>1895543.0799999998</c:v>
                </c:pt>
                <c:pt idx="176">
                  <c:v>1895543.0799999998</c:v>
                </c:pt>
                <c:pt idx="177">
                  <c:v>980107.32</c:v>
                </c:pt>
                <c:pt idx="178">
                  <c:v>657403.99999999977</c:v>
                </c:pt>
                <c:pt idx="179">
                  <c:v>1121722.9200000002</c:v>
                </c:pt>
                <c:pt idx="180">
                  <c:v>1653271.08</c:v>
                </c:pt>
                <c:pt idx="181">
                  <c:v>662515.67999999993</c:v>
                </c:pt>
                <c:pt idx="182">
                  <c:v>938369.04</c:v>
                </c:pt>
                <c:pt idx="183">
                  <c:v>634312.72</c:v>
                </c:pt>
                <c:pt idx="184">
                  <c:v>1250323.24</c:v>
                </c:pt>
                <c:pt idx="185">
                  <c:v>1044033.1200000001</c:v>
                </c:pt>
                <c:pt idx="186">
                  <c:v>1436405.7999999998</c:v>
                </c:pt>
                <c:pt idx="187">
                  <c:v>1653271.08</c:v>
                </c:pt>
                <c:pt idx="188">
                  <c:v>938369.04</c:v>
                </c:pt>
                <c:pt idx="189">
                  <c:v>1121722.9200000002</c:v>
                </c:pt>
                <c:pt idx="190">
                  <c:v>662515.67999999993</c:v>
                </c:pt>
                <c:pt idx="191">
                  <c:v>657403.99999999977</c:v>
                </c:pt>
                <c:pt idx="192">
                  <c:v>1086456.5199999998</c:v>
                </c:pt>
                <c:pt idx="193">
                  <c:v>657403.99999999977</c:v>
                </c:pt>
                <c:pt idx="194">
                  <c:v>657403.99999999977</c:v>
                </c:pt>
                <c:pt idx="195">
                  <c:v>634312.72</c:v>
                </c:pt>
                <c:pt idx="196">
                  <c:v>1044033.1200000001</c:v>
                </c:pt>
                <c:pt idx="197">
                  <c:v>1436405.7999999998</c:v>
                </c:pt>
                <c:pt idx="198">
                  <c:v>662515.67999999993</c:v>
                </c:pt>
                <c:pt idx="199">
                  <c:v>1044033.1200000001</c:v>
                </c:pt>
              </c:numCache>
            </c:numRef>
          </c:val>
          <c:smooth val="0"/>
          <c:extLst>
            <c:ext xmlns:c15="http://schemas.microsoft.com/office/drawing/2012/chart" uri="{02D57815-91ED-43cb-92C2-25804820EDAC}">
              <c15:filteredSeriesTitle>
                <c15:tx>
                  <c:strRef>
                    <c:extLst>
                      <c:ext uri="{02D57815-91ED-43cb-92C2-25804820EDAC}">
                        <c15:formulaRef>
                          <c15:sqref>KPIs!$I$34</c15:sqref>
                        </c15:formulaRef>
                      </c:ext>
                    </c:extLst>
                    <c:strCache>
                      <c:ptCount val="1"/>
                      <c:pt idx="0">
                        <c:v>Total PO Spend</c:v>
                      </c:pt>
                    </c:strCache>
                  </c:strRef>
                </c15:tx>
              </c15:filteredSeriesTitle>
            </c:ext>
            <c:ext xmlns:c15="http://schemas.microsoft.com/office/drawing/2012/chart" uri="{02D57815-91ED-43cb-92C2-25804820EDAC}">
              <c15:filteredCategoryTitle>
                <c15:cat>
                  <c:strRef>
                    <c:extLst>
                      <c:ext uri="{02D57815-91ED-43cb-92C2-25804820EDAC}">
                        <c15:formulaRef>
                          <c15:sqref>KPIs!$H$35:$H$234</c15:sqref>
                        </c15:formulaRef>
                      </c:ext>
                    </c:extLst>
                    <c:strCache>
                      <c:ptCount val="200"/>
                      <c:pt idx="0">
                        <c:v>2026-05</c:v>
                      </c:pt>
                      <c:pt idx="1">
                        <c:v>2025-07</c:v>
                      </c:pt>
                      <c:pt idx="2">
                        <c:v>2025-09</c:v>
                      </c:pt>
                      <c:pt idx="3">
                        <c:v>2025-12</c:v>
                      </c:pt>
                      <c:pt idx="4">
                        <c:v>2026-03</c:v>
                      </c:pt>
                      <c:pt idx="5">
                        <c:v>2026-05</c:v>
                      </c:pt>
                      <c:pt idx="6">
                        <c:v>2025-10</c:v>
                      </c:pt>
                      <c:pt idx="7">
                        <c:v>2025-12</c:v>
                      </c:pt>
                      <c:pt idx="8">
                        <c:v>2025-09</c:v>
                      </c:pt>
                      <c:pt idx="9">
                        <c:v>2026-04</c:v>
                      </c:pt>
                      <c:pt idx="10">
                        <c:v>2026-01</c:v>
                      </c:pt>
                      <c:pt idx="11">
                        <c:v>2026-04</c:v>
                      </c:pt>
                      <c:pt idx="12">
                        <c:v>2025-08</c:v>
                      </c:pt>
                      <c:pt idx="13">
                        <c:v>2026-03</c:v>
                      </c:pt>
                      <c:pt idx="14">
                        <c:v>2025-12</c:v>
                      </c:pt>
                      <c:pt idx="15">
                        <c:v>2026-05</c:v>
                      </c:pt>
                      <c:pt idx="16">
                        <c:v>2026-02</c:v>
                      </c:pt>
                      <c:pt idx="17">
                        <c:v>2025-11</c:v>
                      </c:pt>
                      <c:pt idx="18">
                        <c:v>2025-10</c:v>
                      </c:pt>
                      <c:pt idx="19">
                        <c:v>2026-01</c:v>
                      </c:pt>
                      <c:pt idx="20">
                        <c:v>2025-07</c:v>
                      </c:pt>
                      <c:pt idx="21">
                        <c:v>2026-01</c:v>
                      </c:pt>
                      <c:pt idx="22">
                        <c:v>2026-03</c:v>
                      </c:pt>
                      <c:pt idx="23">
                        <c:v>2025-11</c:v>
                      </c:pt>
                      <c:pt idx="24">
                        <c:v>2026-02</c:v>
                      </c:pt>
                      <c:pt idx="25">
                        <c:v>2026-04</c:v>
                      </c:pt>
                      <c:pt idx="26">
                        <c:v>2025-12</c:v>
                      </c:pt>
                      <c:pt idx="27">
                        <c:v>2025-09</c:v>
                      </c:pt>
                      <c:pt idx="28">
                        <c:v>2025-07</c:v>
                      </c:pt>
                      <c:pt idx="29">
                        <c:v>2025-10</c:v>
                      </c:pt>
                      <c:pt idx="30">
                        <c:v>2025-09</c:v>
                      </c:pt>
                      <c:pt idx="31">
                        <c:v>2026-02</c:v>
                      </c:pt>
                      <c:pt idx="32">
                        <c:v>2026-01</c:v>
                      </c:pt>
                      <c:pt idx="33">
                        <c:v>2025-09</c:v>
                      </c:pt>
                      <c:pt idx="34">
                        <c:v>2026-03</c:v>
                      </c:pt>
                      <c:pt idx="35">
                        <c:v>2026-01</c:v>
                      </c:pt>
                      <c:pt idx="36">
                        <c:v>2026-05</c:v>
                      </c:pt>
                      <c:pt idx="37">
                        <c:v>2025-10</c:v>
                      </c:pt>
                      <c:pt idx="38">
                        <c:v>2026-02</c:v>
                      </c:pt>
                      <c:pt idx="39">
                        <c:v>2026-01</c:v>
                      </c:pt>
                      <c:pt idx="40">
                        <c:v>2026-01</c:v>
                      </c:pt>
                      <c:pt idx="41">
                        <c:v>2026-05</c:v>
                      </c:pt>
                      <c:pt idx="42">
                        <c:v>2026-02</c:v>
                      </c:pt>
                      <c:pt idx="43">
                        <c:v>2026-04</c:v>
                      </c:pt>
                      <c:pt idx="44">
                        <c:v>2025-11</c:v>
                      </c:pt>
                      <c:pt idx="45">
                        <c:v>2026-01</c:v>
                      </c:pt>
                      <c:pt idx="46">
                        <c:v>2025-10</c:v>
                      </c:pt>
                      <c:pt idx="47">
                        <c:v>2026-07</c:v>
                      </c:pt>
                      <c:pt idx="48">
                        <c:v>2026-01</c:v>
                      </c:pt>
                      <c:pt idx="49">
                        <c:v>2025-08</c:v>
                      </c:pt>
                      <c:pt idx="50">
                        <c:v>2025-12</c:v>
                      </c:pt>
                      <c:pt idx="51">
                        <c:v>2025-08</c:v>
                      </c:pt>
                      <c:pt idx="52">
                        <c:v>2025-09</c:v>
                      </c:pt>
                      <c:pt idx="53">
                        <c:v>2026-04</c:v>
                      </c:pt>
                      <c:pt idx="54">
                        <c:v>2026-06</c:v>
                      </c:pt>
                      <c:pt idx="55">
                        <c:v>2026-06</c:v>
                      </c:pt>
                      <c:pt idx="56">
                        <c:v>2025-09</c:v>
                      </c:pt>
                      <c:pt idx="57">
                        <c:v>2025-10</c:v>
                      </c:pt>
                      <c:pt idx="58">
                        <c:v>2025-11</c:v>
                      </c:pt>
                      <c:pt idx="59">
                        <c:v>2026-02</c:v>
                      </c:pt>
                      <c:pt idx="60">
                        <c:v>2025-11</c:v>
                      </c:pt>
                      <c:pt idx="61">
                        <c:v>2025-07</c:v>
                      </c:pt>
                      <c:pt idx="62">
                        <c:v>2026-05</c:v>
                      </c:pt>
                      <c:pt idx="63">
                        <c:v>2026-05</c:v>
                      </c:pt>
                      <c:pt idx="64">
                        <c:v>2026-05</c:v>
                      </c:pt>
                      <c:pt idx="65">
                        <c:v>2026-01</c:v>
                      </c:pt>
                      <c:pt idx="66">
                        <c:v>2025-07</c:v>
                      </c:pt>
                      <c:pt idx="67">
                        <c:v>2025-09</c:v>
                      </c:pt>
                      <c:pt idx="68">
                        <c:v>2025-07</c:v>
                      </c:pt>
                      <c:pt idx="69">
                        <c:v>2025-12</c:v>
                      </c:pt>
                      <c:pt idx="70">
                        <c:v>2026-06</c:v>
                      </c:pt>
                      <c:pt idx="71">
                        <c:v>2025-11</c:v>
                      </c:pt>
                      <c:pt idx="72">
                        <c:v>2026-03</c:v>
                      </c:pt>
                      <c:pt idx="73">
                        <c:v>2026-06</c:v>
                      </c:pt>
                      <c:pt idx="74">
                        <c:v>2026-06</c:v>
                      </c:pt>
                      <c:pt idx="75">
                        <c:v>2026-04</c:v>
                      </c:pt>
                      <c:pt idx="76">
                        <c:v>2025-09</c:v>
                      </c:pt>
                      <c:pt idx="77">
                        <c:v>2026-03</c:v>
                      </c:pt>
                      <c:pt idx="78">
                        <c:v>2025-11</c:v>
                      </c:pt>
                      <c:pt idx="79">
                        <c:v>2025-08</c:v>
                      </c:pt>
                      <c:pt idx="80">
                        <c:v>2026-01</c:v>
                      </c:pt>
                      <c:pt idx="81">
                        <c:v>2026-05</c:v>
                      </c:pt>
                      <c:pt idx="82">
                        <c:v>2026-05</c:v>
                      </c:pt>
                      <c:pt idx="83">
                        <c:v>2026-04</c:v>
                      </c:pt>
                      <c:pt idx="84">
                        <c:v>2026-02</c:v>
                      </c:pt>
                      <c:pt idx="85">
                        <c:v>2026-06</c:v>
                      </c:pt>
                      <c:pt idx="86">
                        <c:v>2026-02</c:v>
                      </c:pt>
                      <c:pt idx="87">
                        <c:v>2025-09</c:v>
                      </c:pt>
                      <c:pt idx="88">
                        <c:v>2026-02</c:v>
                      </c:pt>
                      <c:pt idx="89">
                        <c:v>2025-12</c:v>
                      </c:pt>
                      <c:pt idx="90">
                        <c:v>2025-07</c:v>
                      </c:pt>
                      <c:pt idx="91">
                        <c:v>2026-04</c:v>
                      </c:pt>
                      <c:pt idx="92">
                        <c:v>2026-01</c:v>
                      </c:pt>
                      <c:pt idx="93">
                        <c:v>2025-12</c:v>
                      </c:pt>
                      <c:pt idx="94">
                        <c:v>2026-01</c:v>
                      </c:pt>
                      <c:pt idx="95">
                        <c:v>2025-09</c:v>
                      </c:pt>
                      <c:pt idx="96">
                        <c:v>2026-06</c:v>
                      </c:pt>
                      <c:pt idx="97">
                        <c:v>2026-06</c:v>
                      </c:pt>
                      <c:pt idx="98">
                        <c:v>2025-08</c:v>
                      </c:pt>
                      <c:pt idx="99">
                        <c:v>2026-04</c:v>
                      </c:pt>
                      <c:pt idx="100">
                        <c:v>2026-05</c:v>
                      </c:pt>
                      <c:pt idx="101">
                        <c:v>2026-06</c:v>
                      </c:pt>
                      <c:pt idx="102">
                        <c:v>2025-09</c:v>
                      </c:pt>
                      <c:pt idx="103">
                        <c:v>2026-05</c:v>
                      </c:pt>
                      <c:pt idx="104">
                        <c:v>2025-07</c:v>
                      </c:pt>
                      <c:pt idx="105">
                        <c:v>2026-02</c:v>
                      </c:pt>
                      <c:pt idx="106">
                        <c:v>2025-11</c:v>
                      </c:pt>
                      <c:pt idx="107">
                        <c:v>2026-06</c:v>
                      </c:pt>
                      <c:pt idx="108">
                        <c:v>2025-09</c:v>
                      </c:pt>
                      <c:pt idx="109">
                        <c:v>2026-01</c:v>
                      </c:pt>
                      <c:pt idx="110">
                        <c:v>2026-02</c:v>
                      </c:pt>
                      <c:pt idx="111">
                        <c:v>2026-02</c:v>
                      </c:pt>
                      <c:pt idx="112">
                        <c:v>2025-07</c:v>
                      </c:pt>
                      <c:pt idx="113">
                        <c:v>2025-07</c:v>
                      </c:pt>
                      <c:pt idx="114">
                        <c:v>2026-04</c:v>
                      </c:pt>
                      <c:pt idx="115">
                        <c:v>2026-02</c:v>
                      </c:pt>
                      <c:pt idx="116">
                        <c:v>2025-07</c:v>
                      </c:pt>
                      <c:pt idx="117">
                        <c:v>2026-05</c:v>
                      </c:pt>
                      <c:pt idx="118">
                        <c:v>2025-07</c:v>
                      </c:pt>
                      <c:pt idx="119">
                        <c:v>2026-04</c:v>
                      </c:pt>
                      <c:pt idx="120">
                        <c:v>2025-10</c:v>
                      </c:pt>
                      <c:pt idx="121">
                        <c:v>2025-10</c:v>
                      </c:pt>
                      <c:pt idx="122">
                        <c:v>2025-08</c:v>
                      </c:pt>
                      <c:pt idx="123">
                        <c:v>2026-05</c:v>
                      </c:pt>
                      <c:pt idx="124">
                        <c:v>2026-04</c:v>
                      </c:pt>
                      <c:pt idx="125">
                        <c:v>2025-09</c:v>
                      </c:pt>
                      <c:pt idx="126">
                        <c:v>2025-07</c:v>
                      </c:pt>
                      <c:pt idx="127">
                        <c:v>2026-04</c:v>
                      </c:pt>
                      <c:pt idx="128">
                        <c:v>2025-11</c:v>
                      </c:pt>
                      <c:pt idx="129">
                        <c:v>2026-05</c:v>
                      </c:pt>
                      <c:pt idx="130">
                        <c:v>2025-08</c:v>
                      </c:pt>
                      <c:pt idx="131">
                        <c:v>2025-10</c:v>
                      </c:pt>
                      <c:pt idx="132">
                        <c:v>2026-05</c:v>
                      </c:pt>
                      <c:pt idx="133">
                        <c:v>2025-07</c:v>
                      </c:pt>
                      <c:pt idx="134">
                        <c:v>2026-01</c:v>
                      </c:pt>
                      <c:pt idx="135">
                        <c:v>2026-01</c:v>
                      </c:pt>
                      <c:pt idx="136">
                        <c:v>2025-07</c:v>
                      </c:pt>
                      <c:pt idx="137">
                        <c:v>2026-06</c:v>
                      </c:pt>
                      <c:pt idx="138">
                        <c:v>2025-11</c:v>
                      </c:pt>
                      <c:pt idx="139">
                        <c:v>2026-06</c:v>
                      </c:pt>
                      <c:pt idx="140">
                        <c:v>2026-03</c:v>
                      </c:pt>
                      <c:pt idx="141">
                        <c:v>2026-01</c:v>
                      </c:pt>
                      <c:pt idx="142">
                        <c:v>2026-06</c:v>
                      </c:pt>
                      <c:pt idx="143">
                        <c:v>2026-06</c:v>
                      </c:pt>
                      <c:pt idx="144">
                        <c:v>2025-11</c:v>
                      </c:pt>
                      <c:pt idx="145">
                        <c:v>2025-11</c:v>
                      </c:pt>
                      <c:pt idx="146">
                        <c:v>2025-07</c:v>
                      </c:pt>
                      <c:pt idx="147">
                        <c:v>2026-05</c:v>
                      </c:pt>
                      <c:pt idx="148">
                        <c:v>2026-01</c:v>
                      </c:pt>
                      <c:pt idx="149">
                        <c:v>2026-01</c:v>
                      </c:pt>
                      <c:pt idx="150">
                        <c:v>2026-01</c:v>
                      </c:pt>
                      <c:pt idx="151">
                        <c:v>2025-08</c:v>
                      </c:pt>
                      <c:pt idx="152">
                        <c:v>2025-08</c:v>
                      </c:pt>
                      <c:pt idx="153">
                        <c:v>2026-06</c:v>
                      </c:pt>
                      <c:pt idx="154">
                        <c:v>2026-01</c:v>
                      </c:pt>
                      <c:pt idx="155">
                        <c:v>2026-05</c:v>
                      </c:pt>
                      <c:pt idx="156">
                        <c:v>2026-01</c:v>
                      </c:pt>
                      <c:pt idx="157">
                        <c:v>2025-11</c:v>
                      </c:pt>
                      <c:pt idx="158">
                        <c:v>2025-09</c:v>
                      </c:pt>
                      <c:pt idx="159">
                        <c:v>2026-01</c:v>
                      </c:pt>
                      <c:pt idx="160">
                        <c:v>2025-09</c:v>
                      </c:pt>
                      <c:pt idx="161">
                        <c:v>2025-07</c:v>
                      </c:pt>
                      <c:pt idx="162">
                        <c:v>2025-09</c:v>
                      </c:pt>
                      <c:pt idx="163">
                        <c:v>2025-12</c:v>
                      </c:pt>
                      <c:pt idx="164">
                        <c:v>2025-12</c:v>
                      </c:pt>
                      <c:pt idx="165">
                        <c:v>2025-10</c:v>
                      </c:pt>
                      <c:pt idx="166">
                        <c:v>2026-02</c:v>
                      </c:pt>
                      <c:pt idx="167">
                        <c:v>2025-11</c:v>
                      </c:pt>
                      <c:pt idx="168">
                        <c:v>2025-07</c:v>
                      </c:pt>
                      <c:pt idx="169">
                        <c:v>2026-01</c:v>
                      </c:pt>
                      <c:pt idx="170">
                        <c:v>2026-06</c:v>
                      </c:pt>
                      <c:pt idx="171">
                        <c:v>2025-08</c:v>
                      </c:pt>
                      <c:pt idx="172">
                        <c:v>2026-05</c:v>
                      </c:pt>
                      <c:pt idx="173">
                        <c:v>2025-07</c:v>
                      </c:pt>
                      <c:pt idx="174">
                        <c:v>2025-07</c:v>
                      </c:pt>
                      <c:pt idx="175">
                        <c:v>2026-01</c:v>
                      </c:pt>
                      <c:pt idx="176">
                        <c:v>2026-01</c:v>
                      </c:pt>
                      <c:pt idx="177">
                        <c:v>2026-02</c:v>
                      </c:pt>
                      <c:pt idx="178">
                        <c:v>2025-12</c:v>
                      </c:pt>
                      <c:pt idx="179">
                        <c:v>2025-07</c:v>
                      </c:pt>
                      <c:pt idx="180">
                        <c:v>2026-05</c:v>
                      </c:pt>
                      <c:pt idx="181">
                        <c:v>2026-03</c:v>
                      </c:pt>
                      <c:pt idx="182">
                        <c:v>2026-04</c:v>
                      </c:pt>
                      <c:pt idx="183">
                        <c:v>2025-08</c:v>
                      </c:pt>
                      <c:pt idx="184">
                        <c:v>2026-06</c:v>
                      </c:pt>
                      <c:pt idx="185">
                        <c:v>2025-10</c:v>
                      </c:pt>
                      <c:pt idx="186">
                        <c:v>2025-09</c:v>
                      </c:pt>
                      <c:pt idx="187">
                        <c:v>2026-05</c:v>
                      </c:pt>
                      <c:pt idx="188">
                        <c:v>2026-04</c:v>
                      </c:pt>
                      <c:pt idx="189">
                        <c:v>2025-07</c:v>
                      </c:pt>
                      <c:pt idx="190">
                        <c:v>2026-03</c:v>
                      </c:pt>
                      <c:pt idx="191">
                        <c:v>2025-12</c:v>
                      </c:pt>
                      <c:pt idx="192">
                        <c:v>2025-11</c:v>
                      </c:pt>
                      <c:pt idx="193">
                        <c:v>2025-12</c:v>
                      </c:pt>
                      <c:pt idx="194">
                        <c:v>2025-12</c:v>
                      </c:pt>
                      <c:pt idx="195">
                        <c:v>2025-08</c:v>
                      </c:pt>
                      <c:pt idx="196">
                        <c:v>2025-10</c:v>
                      </c:pt>
                      <c:pt idx="197">
                        <c:v>2025-09</c:v>
                      </c:pt>
                      <c:pt idx="198">
                        <c:v>2026-03</c:v>
                      </c:pt>
                      <c:pt idx="199">
                        <c:v>2025-10</c:v>
                      </c:pt>
                    </c:strCache>
                  </c:strRef>
                </c15:cat>
              </c15:filteredCategoryTitle>
            </c:ext>
            <c:ext xmlns:c16="http://schemas.microsoft.com/office/drawing/2014/chart" uri="{C3380CC4-5D6E-409C-BE32-E72D297353CC}">
              <c16:uniqueId val="{00000000-ABE9-467E-9EB6-EFD110F60921}"/>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KPIs!$J$35:$J$234</c:f>
              <c:numCache>
                <c:formatCode>General</c:formatCode>
                <c:ptCount val="200"/>
                <c:pt idx="0">
                  <c:v>1653271.08</c:v>
                </c:pt>
                <c:pt idx="1">
                  <c:v>1121722.9200000002</c:v>
                </c:pt>
                <c:pt idx="2">
                  <c:v>1436405.7999999998</c:v>
                </c:pt>
                <c:pt idx="3">
                  <c:v>657403.99999999977</c:v>
                </c:pt>
                <c:pt idx="4">
                  <c:v>662515.67999999993</c:v>
                </c:pt>
                <c:pt idx="5">
                  <c:v>1653271.08</c:v>
                </c:pt>
                <c:pt idx="6">
                  <c:v>1044033.1200000001</c:v>
                </c:pt>
                <c:pt idx="7">
                  <c:v>657403.99999999977</c:v>
                </c:pt>
                <c:pt idx="8">
                  <c:v>1436405.7999999998</c:v>
                </c:pt>
                <c:pt idx="9">
                  <c:v>938369.04</c:v>
                </c:pt>
                <c:pt idx="10">
                  <c:v>1895543.0799999998</c:v>
                </c:pt>
                <c:pt idx="11">
                  <c:v>938369.04</c:v>
                </c:pt>
                <c:pt idx="12">
                  <c:v>634312.72</c:v>
                </c:pt>
                <c:pt idx="13">
                  <c:v>662515.67999999993</c:v>
                </c:pt>
                <c:pt idx="14">
                  <c:v>657403.99999999977</c:v>
                </c:pt>
                <c:pt idx="15">
                  <c:v>1653271.08</c:v>
                </c:pt>
                <c:pt idx="16">
                  <c:v>980107.32</c:v>
                </c:pt>
                <c:pt idx="17">
                  <c:v>1086456.5199999998</c:v>
                </c:pt>
                <c:pt idx="18">
                  <c:v>1044033.1200000001</c:v>
                </c:pt>
                <c:pt idx="19">
                  <c:v>1895543.0799999998</c:v>
                </c:pt>
                <c:pt idx="20">
                  <c:v>1121722.9200000002</c:v>
                </c:pt>
                <c:pt idx="21">
                  <c:v>1895543.0799999998</c:v>
                </c:pt>
                <c:pt idx="22">
                  <c:v>662515.67999999993</c:v>
                </c:pt>
                <c:pt idx="23">
                  <c:v>1086456.5199999998</c:v>
                </c:pt>
                <c:pt idx="24">
                  <c:v>980107.32</c:v>
                </c:pt>
                <c:pt idx="25">
                  <c:v>938369.04</c:v>
                </c:pt>
                <c:pt idx="26">
                  <c:v>657403.99999999977</c:v>
                </c:pt>
                <c:pt idx="27">
                  <c:v>1436405.7999999998</c:v>
                </c:pt>
                <c:pt idx="28">
                  <c:v>1121722.9200000002</c:v>
                </c:pt>
                <c:pt idx="29">
                  <c:v>1044033.1200000001</c:v>
                </c:pt>
                <c:pt idx="30">
                  <c:v>1436405.7999999998</c:v>
                </c:pt>
                <c:pt idx="31">
                  <c:v>980107.32</c:v>
                </c:pt>
                <c:pt idx="32">
                  <c:v>1895543.0799999998</c:v>
                </c:pt>
                <c:pt idx="33">
                  <c:v>1436405.7999999998</c:v>
                </c:pt>
                <c:pt idx="34">
                  <c:v>662515.67999999993</c:v>
                </c:pt>
                <c:pt idx="35">
                  <c:v>1895543.0799999998</c:v>
                </c:pt>
                <c:pt idx="36">
                  <c:v>1653271.08</c:v>
                </c:pt>
                <c:pt idx="37">
                  <c:v>1044033.1200000001</c:v>
                </c:pt>
                <c:pt idx="38">
                  <c:v>980107.32</c:v>
                </c:pt>
                <c:pt idx="39">
                  <c:v>1895543.0799999998</c:v>
                </c:pt>
                <c:pt idx="40">
                  <c:v>1895543.0799999998</c:v>
                </c:pt>
                <c:pt idx="41">
                  <c:v>1653271.08</c:v>
                </c:pt>
                <c:pt idx="42">
                  <c:v>980107.32</c:v>
                </c:pt>
                <c:pt idx="43">
                  <c:v>938369.04</c:v>
                </c:pt>
                <c:pt idx="44">
                  <c:v>1086456.5199999998</c:v>
                </c:pt>
                <c:pt idx="45">
                  <c:v>1895543.0799999998</c:v>
                </c:pt>
                <c:pt idx="46">
                  <c:v>1044033.1200000001</c:v>
                </c:pt>
                <c:pt idx="47">
                  <c:v>18854</c:v>
                </c:pt>
                <c:pt idx="48">
                  <c:v>1895543.0799999998</c:v>
                </c:pt>
                <c:pt idx="49">
                  <c:v>634312.72</c:v>
                </c:pt>
                <c:pt idx="50">
                  <c:v>657403.99999999977</c:v>
                </c:pt>
                <c:pt idx="51">
                  <c:v>634312.72</c:v>
                </c:pt>
                <c:pt idx="52">
                  <c:v>1436405.7999999998</c:v>
                </c:pt>
                <c:pt idx="53">
                  <c:v>938369.04</c:v>
                </c:pt>
                <c:pt idx="54">
                  <c:v>1250323.24</c:v>
                </c:pt>
                <c:pt idx="55">
                  <c:v>1250323.24</c:v>
                </c:pt>
                <c:pt idx="56">
                  <c:v>1436405.7999999998</c:v>
                </c:pt>
                <c:pt idx="57">
                  <c:v>1044033.1200000001</c:v>
                </c:pt>
                <c:pt idx="58">
                  <c:v>1086456.5199999998</c:v>
                </c:pt>
                <c:pt idx="59">
                  <c:v>980107.32</c:v>
                </c:pt>
                <c:pt idx="60">
                  <c:v>1086456.5199999998</c:v>
                </c:pt>
                <c:pt idx="61">
                  <c:v>1121722.9200000002</c:v>
                </c:pt>
                <c:pt idx="62">
                  <c:v>1653271.08</c:v>
                </c:pt>
                <c:pt idx="63">
                  <c:v>1653271.08</c:v>
                </c:pt>
                <c:pt idx="64">
                  <c:v>1653271.08</c:v>
                </c:pt>
                <c:pt idx="65">
                  <c:v>1895543.0799999998</c:v>
                </c:pt>
                <c:pt idx="66">
                  <c:v>1121722.9200000002</c:v>
                </c:pt>
                <c:pt idx="67">
                  <c:v>1436405.7999999998</c:v>
                </c:pt>
                <c:pt idx="68">
                  <c:v>1121722.9200000002</c:v>
                </c:pt>
                <c:pt idx="69">
                  <c:v>657403.99999999977</c:v>
                </c:pt>
                <c:pt idx="70">
                  <c:v>1250323.24</c:v>
                </c:pt>
                <c:pt idx="71">
                  <c:v>1086456.5199999998</c:v>
                </c:pt>
                <c:pt idx="72">
                  <c:v>662515.67999999993</c:v>
                </c:pt>
                <c:pt idx="73">
                  <c:v>1250323.24</c:v>
                </c:pt>
                <c:pt idx="74">
                  <c:v>1250323.24</c:v>
                </c:pt>
                <c:pt idx="75">
                  <c:v>938369.04</c:v>
                </c:pt>
                <c:pt idx="76">
                  <c:v>1436405.7999999998</c:v>
                </c:pt>
                <c:pt idx="77">
                  <c:v>662515.67999999993</c:v>
                </c:pt>
                <c:pt idx="78">
                  <c:v>1086456.5199999998</c:v>
                </c:pt>
                <c:pt idx="79">
                  <c:v>634312.72</c:v>
                </c:pt>
                <c:pt idx="80">
                  <c:v>1895543.0799999998</c:v>
                </c:pt>
                <c:pt idx="81">
                  <c:v>1653271.08</c:v>
                </c:pt>
                <c:pt idx="82">
                  <c:v>1653271.08</c:v>
                </c:pt>
                <c:pt idx="83">
                  <c:v>938369.04</c:v>
                </c:pt>
                <c:pt idx="84">
                  <c:v>980107.32</c:v>
                </c:pt>
                <c:pt idx="85">
                  <c:v>1250323.24</c:v>
                </c:pt>
                <c:pt idx="86">
                  <c:v>980107.32</c:v>
                </c:pt>
                <c:pt idx="87">
                  <c:v>1436405.7999999998</c:v>
                </c:pt>
                <c:pt idx="88">
                  <c:v>980107.32</c:v>
                </c:pt>
                <c:pt idx="89">
                  <c:v>657403.99999999977</c:v>
                </c:pt>
                <c:pt idx="90">
                  <c:v>1121722.9200000002</c:v>
                </c:pt>
                <c:pt idx="91">
                  <c:v>938369.04</c:v>
                </c:pt>
                <c:pt idx="92">
                  <c:v>1895543.0799999998</c:v>
                </c:pt>
                <c:pt idx="93">
                  <c:v>657403.99999999977</c:v>
                </c:pt>
                <c:pt idx="94">
                  <c:v>1895543.0799999998</c:v>
                </c:pt>
                <c:pt idx="95">
                  <c:v>1436405.7999999998</c:v>
                </c:pt>
                <c:pt idx="96">
                  <c:v>1250323.24</c:v>
                </c:pt>
                <c:pt idx="97">
                  <c:v>1250323.24</c:v>
                </c:pt>
                <c:pt idx="98">
                  <c:v>634312.72</c:v>
                </c:pt>
                <c:pt idx="99">
                  <c:v>938369.04</c:v>
                </c:pt>
                <c:pt idx="100">
                  <c:v>1653271.08</c:v>
                </c:pt>
                <c:pt idx="101">
                  <c:v>1250323.24</c:v>
                </c:pt>
                <c:pt idx="102">
                  <c:v>1436405.7999999998</c:v>
                </c:pt>
                <c:pt idx="103">
                  <c:v>1653271.08</c:v>
                </c:pt>
                <c:pt idx="104">
                  <c:v>1121722.9200000002</c:v>
                </c:pt>
                <c:pt idx="105">
                  <c:v>980107.32</c:v>
                </c:pt>
                <c:pt idx="106">
                  <c:v>1086456.5199999998</c:v>
                </c:pt>
                <c:pt idx="107">
                  <c:v>1250323.24</c:v>
                </c:pt>
                <c:pt idx="108">
                  <c:v>1436405.7999999998</c:v>
                </c:pt>
                <c:pt idx="109">
                  <c:v>1895543.0799999998</c:v>
                </c:pt>
                <c:pt idx="110">
                  <c:v>980107.32</c:v>
                </c:pt>
                <c:pt idx="111">
                  <c:v>980107.32</c:v>
                </c:pt>
                <c:pt idx="112">
                  <c:v>1121722.9200000002</c:v>
                </c:pt>
                <c:pt idx="113">
                  <c:v>1121722.9200000002</c:v>
                </c:pt>
                <c:pt idx="114">
                  <c:v>938369.04</c:v>
                </c:pt>
                <c:pt idx="115">
                  <c:v>980107.32</c:v>
                </c:pt>
                <c:pt idx="116">
                  <c:v>1121722.9200000002</c:v>
                </c:pt>
                <c:pt idx="117">
                  <c:v>1653271.08</c:v>
                </c:pt>
                <c:pt idx="118">
                  <c:v>1121722.9200000002</c:v>
                </c:pt>
                <c:pt idx="119">
                  <c:v>938369.04</c:v>
                </c:pt>
                <c:pt idx="120">
                  <c:v>1044033.1200000001</c:v>
                </c:pt>
                <c:pt idx="121">
                  <c:v>1044033.1200000001</c:v>
                </c:pt>
                <c:pt idx="122">
                  <c:v>634312.72</c:v>
                </c:pt>
                <c:pt idx="123">
                  <c:v>1653271.08</c:v>
                </c:pt>
                <c:pt idx="124">
                  <c:v>938369.04</c:v>
                </c:pt>
                <c:pt idx="125">
                  <c:v>1436405.7999999998</c:v>
                </c:pt>
                <c:pt idx="126">
                  <c:v>1121722.9200000002</c:v>
                </c:pt>
                <c:pt idx="127">
                  <c:v>938369.04</c:v>
                </c:pt>
                <c:pt idx="128">
                  <c:v>1086456.5199999998</c:v>
                </c:pt>
                <c:pt idx="129">
                  <c:v>1653271.08</c:v>
                </c:pt>
                <c:pt idx="130">
                  <c:v>634312.72</c:v>
                </c:pt>
                <c:pt idx="131">
                  <c:v>1044033.1200000001</c:v>
                </c:pt>
                <c:pt idx="132">
                  <c:v>1653271.08</c:v>
                </c:pt>
                <c:pt idx="133">
                  <c:v>1121722.9200000002</c:v>
                </c:pt>
                <c:pt idx="134">
                  <c:v>1895543.0799999998</c:v>
                </c:pt>
                <c:pt idx="135">
                  <c:v>1895543.0799999998</c:v>
                </c:pt>
                <c:pt idx="136">
                  <c:v>1121722.9200000002</c:v>
                </c:pt>
                <c:pt idx="137">
                  <c:v>1250323.24</c:v>
                </c:pt>
                <c:pt idx="138">
                  <c:v>1086456.5199999998</c:v>
                </c:pt>
                <c:pt idx="139">
                  <c:v>1250323.24</c:v>
                </c:pt>
                <c:pt idx="140">
                  <c:v>662515.67999999993</c:v>
                </c:pt>
                <c:pt idx="141">
                  <c:v>1895543.0799999998</c:v>
                </c:pt>
                <c:pt idx="142">
                  <c:v>1250323.24</c:v>
                </c:pt>
                <c:pt idx="143">
                  <c:v>1250323.24</c:v>
                </c:pt>
                <c:pt idx="144">
                  <c:v>1086456.5199999998</c:v>
                </c:pt>
                <c:pt idx="145">
                  <c:v>1086456.5199999998</c:v>
                </c:pt>
                <c:pt idx="146">
                  <c:v>1121722.9200000002</c:v>
                </c:pt>
                <c:pt idx="147">
                  <c:v>1653271.08</c:v>
                </c:pt>
                <c:pt idx="148">
                  <c:v>1895543.0799999998</c:v>
                </c:pt>
                <c:pt idx="149">
                  <c:v>1895543.0799999998</c:v>
                </c:pt>
                <c:pt idx="150">
                  <c:v>1895543.0799999998</c:v>
                </c:pt>
                <c:pt idx="151">
                  <c:v>634312.72</c:v>
                </c:pt>
                <c:pt idx="152">
                  <c:v>634312.72</c:v>
                </c:pt>
                <c:pt idx="153">
                  <c:v>1250323.24</c:v>
                </c:pt>
                <c:pt idx="154">
                  <c:v>1895543.0799999998</c:v>
                </c:pt>
                <c:pt idx="155">
                  <c:v>1653271.08</c:v>
                </c:pt>
                <c:pt idx="156">
                  <c:v>1895543.0799999998</c:v>
                </c:pt>
                <c:pt idx="157">
                  <c:v>1086456.5199999998</c:v>
                </c:pt>
                <c:pt idx="158">
                  <c:v>1436405.7999999998</c:v>
                </c:pt>
                <c:pt idx="159">
                  <c:v>1895543.0799999998</c:v>
                </c:pt>
                <c:pt idx="160">
                  <c:v>1436405.7999999998</c:v>
                </c:pt>
                <c:pt idx="161">
                  <c:v>1121722.9200000002</c:v>
                </c:pt>
                <c:pt idx="162">
                  <c:v>1436405.7999999998</c:v>
                </c:pt>
                <c:pt idx="163">
                  <c:v>657403.99999999977</c:v>
                </c:pt>
                <c:pt idx="164">
                  <c:v>657403.99999999977</c:v>
                </c:pt>
                <c:pt idx="165">
                  <c:v>1044033.1200000001</c:v>
                </c:pt>
                <c:pt idx="166">
                  <c:v>980107.32</c:v>
                </c:pt>
                <c:pt idx="167">
                  <c:v>1086456.5199999998</c:v>
                </c:pt>
                <c:pt idx="168">
                  <c:v>1121722.9200000002</c:v>
                </c:pt>
                <c:pt idx="169">
                  <c:v>1895543.0799999998</c:v>
                </c:pt>
                <c:pt idx="170">
                  <c:v>1250323.24</c:v>
                </c:pt>
                <c:pt idx="171">
                  <c:v>634312.72</c:v>
                </c:pt>
                <c:pt idx="172">
                  <c:v>1653271.08</c:v>
                </c:pt>
                <c:pt idx="173">
                  <c:v>1121722.9200000002</c:v>
                </c:pt>
                <c:pt idx="174">
                  <c:v>1121722.9200000002</c:v>
                </c:pt>
                <c:pt idx="175">
                  <c:v>1895543.0799999998</c:v>
                </c:pt>
                <c:pt idx="176">
                  <c:v>1895543.0799999998</c:v>
                </c:pt>
                <c:pt idx="177">
                  <c:v>980107.32</c:v>
                </c:pt>
                <c:pt idx="178">
                  <c:v>657403.99999999977</c:v>
                </c:pt>
                <c:pt idx="179">
                  <c:v>1121722.9200000002</c:v>
                </c:pt>
                <c:pt idx="180">
                  <c:v>1653271.08</c:v>
                </c:pt>
                <c:pt idx="181">
                  <c:v>662515.67999999993</c:v>
                </c:pt>
                <c:pt idx="182">
                  <c:v>938369.04</c:v>
                </c:pt>
                <c:pt idx="183">
                  <c:v>634312.72</c:v>
                </c:pt>
                <c:pt idx="184">
                  <c:v>1250323.24</c:v>
                </c:pt>
                <c:pt idx="185">
                  <c:v>1044033.1200000001</c:v>
                </c:pt>
                <c:pt idx="186">
                  <c:v>1436405.7999999998</c:v>
                </c:pt>
                <c:pt idx="187">
                  <c:v>1653271.08</c:v>
                </c:pt>
                <c:pt idx="188">
                  <c:v>938369.04</c:v>
                </c:pt>
                <c:pt idx="189">
                  <c:v>1121722.9200000002</c:v>
                </c:pt>
                <c:pt idx="190">
                  <c:v>662515.67999999993</c:v>
                </c:pt>
                <c:pt idx="191">
                  <c:v>657403.99999999977</c:v>
                </c:pt>
                <c:pt idx="192">
                  <c:v>1086456.5199999998</c:v>
                </c:pt>
                <c:pt idx="193">
                  <c:v>657403.99999999977</c:v>
                </c:pt>
                <c:pt idx="194">
                  <c:v>657403.99999999977</c:v>
                </c:pt>
                <c:pt idx="195">
                  <c:v>634312.72</c:v>
                </c:pt>
                <c:pt idx="196">
                  <c:v>1044033.1200000001</c:v>
                </c:pt>
                <c:pt idx="197">
                  <c:v>1436405.7999999998</c:v>
                </c:pt>
                <c:pt idx="198">
                  <c:v>662515.67999999993</c:v>
                </c:pt>
                <c:pt idx="199">
                  <c:v>1044033.1200000001</c:v>
                </c:pt>
              </c:numCache>
            </c:numRef>
          </c:val>
          <c:smooth val="0"/>
          <c:extLst>
            <c:ext xmlns:c15="http://schemas.microsoft.com/office/drawing/2012/chart" uri="{02D57815-91ED-43cb-92C2-25804820EDAC}">
              <c15:filteredSeriesTitle>
                <c15:tx>
                  <c:strRef>
                    <c:extLst>
                      <c:ext uri="{02D57815-91ED-43cb-92C2-25804820EDAC}">
                        <c15:formulaRef>
                          <c15:sqref>KPIs!$J$34</c15:sqref>
                        </c15:formulaRef>
                      </c:ext>
                    </c:extLst>
                    <c:strCache>
                      <c:ptCount val="1"/>
                      <c:pt idx="0">
                        <c:v>Total Invoice Payments</c:v>
                      </c:pt>
                    </c:strCache>
                  </c:strRef>
                </c15:tx>
              </c15:filteredSeriesTitle>
            </c:ext>
            <c:ext xmlns:c15="http://schemas.microsoft.com/office/drawing/2012/chart" uri="{02D57815-91ED-43cb-92C2-25804820EDAC}">
              <c15:filteredCategoryTitle>
                <c15:cat>
                  <c:strRef>
                    <c:extLst>
                      <c:ext uri="{02D57815-91ED-43cb-92C2-25804820EDAC}">
                        <c15:formulaRef>
                          <c15:sqref>KPIs!$H$35:$H$234</c15:sqref>
                        </c15:formulaRef>
                      </c:ext>
                    </c:extLst>
                    <c:strCache>
                      <c:ptCount val="200"/>
                      <c:pt idx="0">
                        <c:v>2026-05</c:v>
                      </c:pt>
                      <c:pt idx="1">
                        <c:v>2025-07</c:v>
                      </c:pt>
                      <c:pt idx="2">
                        <c:v>2025-09</c:v>
                      </c:pt>
                      <c:pt idx="3">
                        <c:v>2025-12</c:v>
                      </c:pt>
                      <c:pt idx="4">
                        <c:v>2026-03</c:v>
                      </c:pt>
                      <c:pt idx="5">
                        <c:v>2026-05</c:v>
                      </c:pt>
                      <c:pt idx="6">
                        <c:v>2025-10</c:v>
                      </c:pt>
                      <c:pt idx="7">
                        <c:v>2025-12</c:v>
                      </c:pt>
                      <c:pt idx="8">
                        <c:v>2025-09</c:v>
                      </c:pt>
                      <c:pt idx="9">
                        <c:v>2026-04</c:v>
                      </c:pt>
                      <c:pt idx="10">
                        <c:v>2026-01</c:v>
                      </c:pt>
                      <c:pt idx="11">
                        <c:v>2026-04</c:v>
                      </c:pt>
                      <c:pt idx="12">
                        <c:v>2025-08</c:v>
                      </c:pt>
                      <c:pt idx="13">
                        <c:v>2026-03</c:v>
                      </c:pt>
                      <c:pt idx="14">
                        <c:v>2025-12</c:v>
                      </c:pt>
                      <c:pt idx="15">
                        <c:v>2026-05</c:v>
                      </c:pt>
                      <c:pt idx="16">
                        <c:v>2026-02</c:v>
                      </c:pt>
                      <c:pt idx="17">
                        <c:v>2025-11</c:v>
                      </c:pt>
                      <c:pt idx="18">
                        <c:v>2025-10</c:v>
                      </c:pt>
                      <c:pt idx="19">
                        <c:v>2026-01</c:v>
                      </c:pt>
                      <c:pt idx="20">
                        <c:v>2025-07</c:v>
                      </c:pt>
                      <c:pt idx="21">
                        <c:v>2026-01</c:v>
                      </c:pt>
                      <c:pt idx="22">
                        <c:v>2026-03</c:v>
                      </c:pt>
                      <c:pt idx="23">
                        <c:v>2025-11</c:v>
                      </c:pt>
                      <c:pt idx="24">
                        <c:v>2026-02</c:v>
                      </c:pt>
                      <c:pt idx="25">
                        <c:v>2026-04</c:v>
                      </c:pt>
                      <c:pt idx="26">
                        <c:v>2025-12</c:v>
                      </c:pt>
                      <c:pt idx="27">
                        <c:v>2025-09</c:v>
                      </c:pt>
                      <c:pt idx="28">
                        <c:v>2025-07</c:v>
                      </c:pt>
                      <c:pt idx="29">
                        <c:v>2025-10</c:v>
                      </c:pt>
                      <c:pt idx="30">
                        <c:v>2025-09</c:v>
                      </c:pt>
                      <c:pt idx="31">
                        <c:v>2026-02</c:v>
                      </c:pt>
                      <c:pt idx="32">
                        <c:v>2026-01</c:v>
                      </c:pt>
                      <c:pt idx="33">
                        <c:v>2025-09</c:v>
                      </c:pt>
                      <c:pt idx="34">
                        <c:v>2026-03</c:v>
                      </c:pt>
                      <c:pt idx="35">
                        <c:v>2026-01</c:v>
                      </c:pt>
                      <c:pt idx="36">
                        <c:v>2026-05</c:v>
                      </c:pt>
                      <c:pt idx="37">
                        <c:v>2025-10</c:v>
                      </c:pt>
                      <c:pt idx="38">
                        <c:v>2026-02</c:v>
                      </c:pt>
                      <c:pt idx="39">
                        <c:v>2026-01</c:v>
                      </c:pt>
                      <c:pt idx="40">
                        <c:v>2026-01</c:v>
                      </c:pt>
                      <c:pt idx="41">
                        <c:v>2026-05</c:v>
                      </c:pt>
                      <c:pt idx="42">
                        <c:v>2026-02</c:v>
                      </c:pt>
                      <c:pt idx="43">
                        <c:v>2026-04</c:v>
                      </c:pt>
                      <c:pt idx="44">
                        <c:v>2025-11</c:v>
                      </c:pt>
                      <c:pt idx="45">
                        <c:v>2026-01</c:v>
                      </c:pt>
                      <c:pt idx="46">
                        <c:v>2025-10</c:v>
                      </c:pt>
                      <c:pt idx="47">
                        <c:v>2026-07</c:v>
                      </c:pt>
                      <c:pt idx="48">
                        <c:v>2026-01</c:v>
                      </c:pt>
                      <c:pt idx="49">
                        <c:v>2025-08</c:v>
                      </c:pt>
                      <c:pt idx="50">
                        <c:v>2025-12</c:v>
                      </c:pt>
                      <c:pt idx="51">
                        <c:v>2025-08</c:v>
                      </c:pt>
                      <c:pt idx="52">
                        <c:v>2025-09</c:v>
                      </c:pt>
                      <c:pt idx="53">
                        <c:v>2026-04</c:v>
                      </c:pt>
                      <c:pt idx="54">
                        <c:v>2026-06</c:v>
                      </c:pt>
                      <c:pt idx="55">
                        <c:v>2026-06</c:v>
                      </c:pt>
                      <c:pt idx="56">
                        <c:v>2025-09</c:v>
                      </c:pt>
                      <c:pt idx="57">
                        <c:v>2025-10</c:v>
                      </c:pt>
                      <c:pt idx="58">
                        <c:v>2025-11</c:v>
                      </c:pt>
                      <c:pt idx="59">
                        <c:v>2026-02</c:v>
                      </c:pt>
                      <c:pt idx="60">
                        <c:v>2025-11</c:v>
                      </c:pt>
                      <c:pt idx="61">
                        <c:v>2025-07</c:v>
                      </c:pt>
                      <c:pt idx="62">
                        <c:v>2026-05</c:v>
                      </c:pt>
                      <c:pt idx="63">
                        <c:v>2026-05</c:v>
                      </c:pt>
                      <c:pt idx="64">
                        <c:v>2026-05</c:v>
                      </c:pt>
                      <c:pt idx="65">
                        <c:v>2026-01</c:v>
                      </c:pt>
                      <c:pt idx="66">
                        <c:v>2025-07</c:v>
                      </c:pt>
                      <c:pt idx="67">
                        <c:v>2025-09</c:v>
                      </c:pt>
                      <c:pt idx="68">
                        <c:v>2025-07</c:v>
                      </c:pt>
                      <c:pt idx="69">
                        <c:v>2025-12</c:v>
                      </c:pt>
                      <c:pt idx="70">
                        <c:v>2026-06</c:v>
                      </c:pt>
                      <c:pt idx="71">
                        <c:v>2025-11</c:v>
                      </c:pt>
                      <c:pt idx="72">
                        <c:v>2026-03</c:v>
                      </c:pt>
                      <c:pt idx="73">
                        <c:v>2026-06</c:v>
                      </c:pt>
                      <c:pt idx="74">
                        <c:v>2026-06</c:v>
                      </c:pt>
                      <c:pt idx="75">
                        <c:v>2026-04</c:v>
                      </c:pt>
                      <c:pt idx="76">
                        <c:v>2025-09</c:v>
                      </c:pt>
                      <c:pt idx="77">
                        <c:v>2026-03</c:v>
                      </c:pt>
                      <c:pt idx="78">
                        <c:v>2025-11</c:v>
                      </c:pt>
                      <c:pt idx="79">
                        <c:v>2025-08</c:v>
                      </c:pt>
                      <c:pt idx="80">
                        <c:v>2026-01</c:v>
                      </c:pt>
                      <c:pt idx="81">
                        <c:v>2026-05</c:v>
                      </c:pt>
                      <c:pt idx="82">
                        <c:v>2026-05</c:v>
                      </c:pt>
                      <c:pt idx="83">
                        <c:v>2026-04</c:v>
                      </c:pt>
                      <c:pt idx="84">
                        <c:v>2026-02</c:v>
                      </c:pt>
                      <c:pt idx="85">
                        <c:v>2026-06</c:v>
                      </c:pt>
                      <c:pt idx="86">
                        <c:v>2026-02</c:v>
                      </c:pt>
                      <c:pt idx="87">
                        <c:v>2025-09</c:v>
                      </c:pt>
                      <c:pt idx="88">
                        <c:v>2026-02</c:v>
                      </c:pt>
                      <c:pt idx="89">
                        <c:v>2025-12</c:v>
                      </c:pt>
                      <c:pt idx="90">
                        <c:v>2025-07</c:v>
                      </c:pt>
                      <c:pt idx="91">
                        <c:v>2026-04</c:v>
                      </c:pt>
                      <c:pt idx="92">
                        <c:v>2026-01</c:v>
                      </c:pt>
                      <c:pt idx="93">
                        <c:v>2025-12</c:v>
                      </c:pt>
                      <c:pt idx="94">
                        <c:v>2026-01</c:v>
                      </c:pt>
                      <c:pt idx="95">
                        <c:v>2025-09</c:v>
                      </c:pt>
                      <c:pt idx="96">
                        <c:v>2026-06</c:v>
                      </c:pt>
                      <c:pt idx="97">
                        <c:v>2026-06</c:v>
                      </c:pt>
                      <c:pt idx="98">
                        <c:v>2025-08</c:v>
                      </c:pt>
                      <c:pt idx="99">
                        <c:v>2026-04</c:v>
                      </c:pt>
                      <c:pt idx="100">
                        <c:v>2026-05</c:v>
                      </c:pt>
                      <c:pt idx="101">
                        <c:v>2026-06</c:v>
                      </c:pt>
                      <c:pt idx="102">
                        <c:v>2025-09</c:v>
                      </c:pt>
                      <c:pt idx="103">
                        <c:v>2026-05</c:v>
                      </c:pt>
                      <c:pt idx="104">
                        <c:v>2025-07</c:v>
                      </c:pt>
                      <c:pt idx="105">
                        <c:v>2026-02</c:v>
                      </c:pt>
                      <c:pt idx="106">
                        <c:v>2025-11</c:v>
                      </c:pt>
                      <c:pt idx="107">
                        <c:v>2026-06</c:v>
                      </c:pt>
                      <c:pt idx="108">
                        <c:v>2025-09</c:v>
                      </c:pt>
                      <c:pt idx="109">
                        <c:v>2026-01</c:v>
                      </c:pt>
                      <c:pt idx="110">
                        <c:v>2026-02</c:v>
                      </c:pt>
                      <c:pt idx="111">
                        <c:v>2026-02</c:v>
                      </c:pt>
                      <c:pt idx="112">
                        <c:v>2025-07</c:v>
                      </c:pt>
                      <c:pt idx="113">
                        <c:v>2025-07</c:v>
                      </c:pt>
                      <c:pt idx="114">
                        <c:v>2026-04</c:v>
                      </c:pt>
                      <c:pt idx="115">
                        <c:v>2026-02</c:v>
                      </c:pt>
                      <c:pt idx="116">
                        <c:v>2025-07</c:v>
                      </c:pt>
                      <c:pt idx="117">
                        <c:v>2026-05</c:v>
                      </c:pt>
                      <c:pt idx="118">
                        <c:v>2025-07</c:v>
                      </c:pt>
                      <c:pt idx="119">
                        <c:v>2026-04</c:v>
                      </c:pt>
                      <c:pt idx="120">
                        <c:v>2025-10</c:v>
                      </c:pt>
                      <c:pt idx="121">
                        <c:v>2025-10</c:v>
                      </c:pt>
                      <c:pt idx="122">
                        <c:v>2025-08</c:v>
                      </c:pt>
                      <c:pt idx="123">
                        <c:v>2026-05</c:v>
                      </c:pt>
                      <c:pt idx="124">
                        <c:v>2026-04</c:v>
                      </c:pt>
                      <c:pt idx="125">
                        <c:v>2025-09</c:v>
                      </c:pt>
                      <c:pt idx="126">
                        <c:v>2025-07</c:v>
                      </c:pt>
                      <c:pt idx="127">
                        <c:v>2026-04</c:v>
                      </c:pt>
                      <c:pt idx="128">
                        <c:v>2025-11</c:v>
                      </c:pt>
                      <c:pt idx="129">
                        <c:v>2026-05</c:v>
                      </c:pt>
                      <c:pt idx="130">
                        <c:v>2025-08</c:v>
                      </c:pt>
                      <c:pt idx="131">
                        <c:v>2025-10</c:v>
                      </c:pt>
                      <c:pt idx="132">
                        <c:v>2026-05</c:v>
                      </c:pt>
                      <c:pt idx="133">
                        <c:v>2025-07</c:v>
                      </c:pt>
                      <c:pt idx="134">
                        <c:v>2026-01</c:v>
                      </c:pt>
                      <c:pt idx="135">
                        <c:v>2026-01</c:v>
                      </c:pt>
                      <c:pt idx="136">
                        <c:v>2025-07</c:v>
                      </c:pt>
                      <c:pt idx="137">
                        <c:v>2026-06</c:v>
                      </c:pt>
                      <c:pt idx="138">
                        <c:v>2025-11</c:v>
                      </c:pt>
                      <c:pt idx="139">
                        <c:v>2026-06</c:v>
                      </c:pt>
                      <c:pt idx="140">
                        <c:v>2026-03</c:v>
                      </c:pt>
                      <c:pt idx="141">
                        <c:v>2026-01</c:v>
                      </c:pt>
                      <c:pt idx="142">
                        <c:v>2026-06</c:v>
                      </c:pt>
                      <c:pt idx="143">
                        <c:v>2026-06</c:v>
                      </c:pt>
                      <c:pt idx="144">
                        <c:v>2025-11</c:v>
                      </c:pt>
                      <c:pt idx="145">
                        <c:v>2025-11</c:v>
                      </c:pt>
                      <c:pt idx="146">
                        <c:v>2025-07</c:v>
                      </c:pt>
                      <c:pt idx="147">
                        <c:v>2026-05</c:v>
                      </c:pt>
                      <c:pt idx="148">
                        <c:v>2026-01</c:v>
                      </c:pt>
                      <c:pt idx="149">
                        <c:v>2026-01</c:v>
                      </c:pt>
                      <c:pt idx="150">
                        <c:v>2026-01</c:v>
                      </c:pt>
                      <c:pt idx="151">
                        <c:v>2025-08</c:v>
                      </c:pt>
                      <c:pt idx="152">
                        <c:v>2025-08</c:v>
                      </c:pt>
                      <c:pt idx="153">
                        <c:v>2026-06</c:v>
                      </c:pt>
                      <c:pt idx="154">
                        <c:v>2026-01</c:v>
                      </c:pt>
                      <c:pt idx="155">
                        <c:v>2026-05</c:v>
                      </c:pt>
                      <c:pt idx="156">
                        <c:v>2026-01</c:v>
                      </c:pt>
                      <c:pt idx="157">
                        <c:v>2025-11</c:v>
                      </c:pt>
                      <c:pt idx="158">
                        <c:v>2025-09</c:v>
                      </c:pt>
                      <c:pt idx="159">
                        <c:v>2026-01</c:v>
                      </c:pt>
                      <c:pt idx="160">
                        <c:v>2025-09</c:v>
                      </c:pt>
                      <c:pt idx="161">
                        <c:v>2025-07</c:v>
                      </c:pt>
                      <c:pt idx="162">
                        <c:v>2025-09</c:v>
                      </c:pt>
                      <c:pt idx="163">
                        <c:v>2025-12</c:v>
                      </c:pt>
                      <c:pt idx="164">
                        <c:v>2025-12</c:v>
                      </c:pt>
                      <c:pt idx="165">
                        <c:v>2025-10</c:v>
                      </c:pt>
                      <c:pt idx="166">
                        <c:v>2026-02</c:v>
                      </c:pt>
                      <c:pt idx="167">
                        <c:v>2025-11</c:v>
                      </c:pt>
                      <c:pt idx="168">
                        <c:v>2025-07</c:v>
                      </c:pt>
                      <c:pt idx="169">
                        <c:v>2026-01</c:v>
                      </c:pt>
                      <c:pt idx="170">
                        <c:v>2026-06</c:v>
                      </c:pt>
                      <c:pt idx="171">
                        <c:v>2025-08</c:v>
                      </c:pt>
                      <c:pt idx="172">
                        <c:v>2026-05</c:v>
                      </c:pt>
                      <c:pt idx="173">
                        <c:v>2025-07</c:v>
                      </c:pt>
                      <c:pt idx="174">
                        <c:v>2025-07</c:v>
                      </c:pt>
                      <c:pt idx="175">
                        <c:v>2026-01</c:v>
                      </c:pt>
                      <c:pt idx="176">
                        <c:v>2026-01</c:v>
                      </c:pt>
                      <c:pt idx="177">
                        <c:v>2026-02</c:v>
                      </c:pt>
                      <c:pt idx="178">
                        <c:v>2025-12</c:v>
                      </c:pt>
                      <c:pt idx="179">
                        <c:v>2025-07</c:v>
                      </c:pt>
                      <c:pt idx="180">
                        <c:v>2026-05</c:v>
                      </c:pt>
                      <c:pt idx="181">
                        <c:v>2026-03</c:v>
                      </c:pt>
                      <c:pt idx="182">
                        <c:v>2026-04</c:v>
                      </c:pt>
                      <c:pt idx="183">
                        <c:v>2025-08</c:v>
                      </c:pt>
                      <c:pt idx="184">
                        <c:v>2026-06</c:v>
                      </c:pt>
                      <c:pt idx="185">
                        <c:v>2025-10</c:v>
                      </c:pt>
                      <c:pt idx="186">
                        <c:v>2025-09</c:v>
                      </c:pt>
                      <c:pt idx="187">
                        <c:v>2026-05</c:v>
                      </c:pt>
                      <c:pt idx="188">
                        <c:v>2026-04</c:v>
                      </c:pt>
                      <c:pt idx="189">
                        <c:v>2025-07</c:v>
                      </c:pt>
                      <c:pt idx="190">
                        <c:v>2026-03</c:v>
                      </c:pt>
                      <c:pt idx="191">
                        <c:v>2025-12</c:v>
                      </c:pt>
                      <c:pt idx="192">
                        <c:v>2025-11</c:v>
                      </c:pt>
                      <c:pt idx="193">
                        <c:v>2025-12</c:v>
                      </c:pt>
                      <c:pt idx="194">
                        <c:v>2025-12</c:v>
                      </c:pt>
                      <c:pt idx="195">
                        <c:v>2025-08</c:v>
                      </c:pt>
                      <c:pt idx="196">
                        <c:v>2025-10</c:v>
                      </c:pt>
                      <c:pt idx="197">
                        <c:v>2025-09</c:v>
                      </c:pt>
                      <c:pt idx="198">
                        <c:v>2026-03</c:v>
                      </c:pt>
                      <c:pt idx="199">
                        <c:v>2025-10</c:v>
                      </c:pt>
                    </c:strCache>
                  </c:strRef>
                </c15:cat>
              </c15:filteredCategoryTitle>
            </c:ext>
            <c:ext xmlns:c16="http://schemas.microsoft.com/office/drawing/2014/chart" uri="{C3380CC4-5D6E-409C-BE32-E72D297353CC}">
              <c16:uniqueId val="{00000001-ABE9-467E-9EB6-EFD110F60921}"/>
            </c:ext>
          </c:extLst>
        </c:ser>
        <c:dLbls>
          <c:showLegendKey val="0"/>
          <c:showVal val="0"/>
          <c:showCatName val="0"/>
          <c:showSerName val="0"/>
          <c:showPercent val="0"/>
          <c:showBubbleSize val="0"/>
        </c:dLbls>
        <c:marker val="1"/>
        <c:smooth val="0"/>
        <c:axId val="538662639"/>
        <c:axId val="538661199"/>
      </c:lineChart>
      <c:catAx>
        <c:axId val="53866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661199"/>
        <c:crosses val="autoZero"/>
        <c:auto val="1"/>
        <c:lblAlgn val="ctr"/>
        <c:lblOffset val="100"/>
        <c:noMultiLvlLbl val="0"/>
      </c:catAx>
      <c:valAx>
        <c:axId val="53866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662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accent1">
                    <a:lumMod val="75000"/>
                  </a:schemeClr>
                </a:solidFill>
              </a:rPr>
              <a:t>Inventory Value by Warehouse</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KPIs!$AC$17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KPIs!$AB$18:$AB$23</c:f>
              <c:strCache>
                <c:ptCount val="5"/>
                <c:pt idx="0">
                  <c:v>Atlanta</c:v>
                </c:pt>
                <c:pt idx="1">
                  <c:v>Chicago</c:v>
                </c:pt>
                <c:pt idx="2">
                  <c:v>Dallas</c:v>
                </c:pt>
                <c:pt idx="3">
                  <c:v>New York</c:v>
                </c:pt>
                <c:pt idx="4">
                  <c:v>Phoenix</c:v>
                </c:pt>
              </c:strCache>
            </c:strRef>
          </c:cat>
          <c:val>
            <c:numRef>
              <c:f>KPIs!$AC$18:$AC$23</c:f>
              <c:numCache>
                <c:formatCode>0.00%</c:formatCode>
                <c:ptCount val="5"/>
                <c:pt idx="0">
                  <c:v>0.22341786848158557</c:v>
                </c:pt>
                <c:pt idx="1">
                  <c:v>0.21551250337655609</c:v>
                </c:pt>
                <c:pt idx="2">
                  <c:v>0.21616283608103054</c:v>
                </c:pt>
                <c:pt idx="3">
                  <c:v>0.13978733541175631</c:v>
                </c:pt>
                <c:pt idx="4">
                  <c:v>0.2051194566490715</c:v>
                </c:pt>
              </c:numCache>
            </c:numRef>
          </c:val>
          <c:extLst>
            <c:ext xmlns:c16="http://schemas.microsoft.com/office/drawing/2014/chart" uri="{C3380CC4-5D6E-409C-BE32-E72D297353CC}">
              <c16:uniqueId val="{00000000-B660-4A4C-B1A3-1CD0D1CFA4F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236220</xdr:colOff>
      <xdr:row>0</xdr:row>
      <xdr:rowOff>43544</xdr:rowOff>
    </xdr:from>
    <xdr:to>
      <xdr:col>14</xdr:col>
      <xdr:colOff>522514</xdr:colOff>
      <xdr:row>25</xdr:row>
      <xdr:rowOff>22861</xdr:rowOff>
    </xdr:to>
    <xdr:graphicFrame macro="">
      <xdr:nvGraphicFramePr>
        <xdr:cNvPr id="2" name="Chart 1">
          <a:extLst>
            <a:ext uri="{FF2B5EF4-FFF2-40B4-BE49-F238E27FC236}">
              <a16:creationId xmlns:a16="http://schemas.microsoft.com/office/drawing/2014/main" id="{103EC19A-8A03-4B65-A0BF-A3590775F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598714</xdr:colOff>
      <xdr:row>0</xdr:row>
      <xdr:rowOff>119743</xdr:rowOff>
    </xdr:from>
    <xdr:to>
      <xdr:col>26</xdr:col>
      <xdr:colOff>468086</xdr:colOff>
      <xdr:row>24</xdr:row>
      <xdr:rowOff>130629</xdr:rowOff>
    </xdr:to>
    <xdr:graphicFrame macro="">
      <xdr:nvGraphicFramePr>
        <xdr:cNvPr id="3" name="Chart 2">
          <a:extLst>
            <a:ext uri="{FF2B5EF4-FFF2-40B4-BE49-F238E27FC236}">
              <a16:creationId xmlns:a16="http://schemas.microsoft.com/office/drawing/2014/main" id="{86514F15-8916-40A5-AC5A-6A40C71B6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533401</xdr:colOff>
      <xdr:row>24</xdr:row>
      <xdr:rowOff>163285</xdr:rowOff>
    </xdr:from>
    <xdr:to>
      <xdr:col>26</xdr:col>
      <xdr:colOff>500743</xdr:colOff>
      <xdr:row>43</xdr:row>
      <xdr:rowOff>152400</xdr:rowOff>
    </xdr:to>
    <xdr:graphicFrame macro="">
      <xdr:nvGraphicFramePr>
        <xdr:cNvPr id="5" name="Chart 4">
          <a:extLst>
            <a:ext uri="{FF2B5EF4-FFF2-40B4-BE49-F238E27FC236}">
              <a16:creationId xmlns:a16="http://schemas.microsoft.com/office/drawing/2014/main" id="{D5FE96A7-A9CC-4758-A85F-C9AACB36F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26853</xdr:rowOff>
    </xdr:from>
    <xdr:to>
      <xdr:col>2</xdr:col>
      <xdr:colOff>175260</xdr:colOff>
      <xdr:row>14</xdr:row>
      <xdr:rowOff>29393</xdr:rowOff>
    </xdr:to>
    <mc:AlternateContent xmlns:mc="http://schemas.openxmlformats.org/markup-compatibility/2006">
      <mc:Choice xmlns:a14="http://schemas.microsoft.com/office/drawing/2010/main" Requires="a14">
        <xdr:graphicFrame macro="">
          <xdr:nvGraphicFramePr>
            <xdr:cNvPr id="6" name="Supplier_ID 1">
              <a:extLst>
                <a:ext uri="{FF2B5EF4-FFF2-40B4-BE49-F238E27FC236}">
                  <a16:creationId xmlns:a16="http://schemas.microsoft.com/office/drawing/2014/main" id="{225D060A-503C-4C66-967D-4C3C51DFCB43}"/>
                </a:ext>
              </a:extLst>
            </xdr:cNvPr>
            <xdr:cNvGraphicFramePr/>
          </xdr:nvGraphicFramePr>
          <xdr:xfrm>
            <a:off x="0" y="0"/>
            <a:ext cx="0" cy="0"/>
          </xdr:xfrm>
          <a:graphic>
            <a:graphicData uri="http://schemas.microsoft.com/office/drawing/2010/slicer">
              <sle:slicer xmlns:sle="http://schemas.microsoft.com/office/drawing/2010/slicer" name="Supplier_ID 1"/>
            </a:graphicData>
          </a:graphic>
        </xdr:graphicFrame>
      </mc:Choice>
      <mc:Fallback>
        <xdr:sp macro="" textlink="">
          <xdr:nvSpPr>
            <xdr:cNvPr id="0" name=""/>
            <xdr:cNvSpPr>
              <a:spLocks noTextEdit="1"/>
            </xdr:cNvSpPr>
          </xdr:nvSpPr>
          <xdr:spPr>
            <a:xfrm>
              <a:off x="0" y="26853"/>
              <a:ext cx="1394460" cy="2593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76201</xdr:rowOff>
    </xdr:from>
    <xdr:to>
      <xdr:col>2</xdr:col>
      <xdr:colOff>206829</xdr:colOff>
      <xdr:row>38</xdr:row>
      <xdr:rowOff>87087</xdr:rowOff>
    </xdr:to>
    <mc:AlternateContent xmlns:mc="http://schemas.openxmlformats.org/markup-compatibility/2006">
      <mc:Choice xmlns:a14="http://schemas.microsoft.com/office/drawing/2010/main" Requires="a14">
        <xdr:graphicFrame macro="">
          <xdr:nvGraphicFramePr>
            <xdr:cNvPr id="7" name="Material 1">
              <a:extLst>
                <a:ext uri="{FF2B5EF4-FFF2-40B4-BE49-F238E27FC236}">
                  <a16:creationId xmlns:a16="http://schemas.microsoft.com/office/drawing/2014/main" id="{67B65491-DBBD-487D-A251-74F19F582648}"/>
                </a:ext>
              </a:extLst>
            </xdr:cNvPr>
            <xdr:cNvGraphicFramePr/>
          </xdr:nvGraphicFramePr>
          <xdr:xfrm>
            <a:off x="0" y="0"/>
            <a:ext cx="0" cy="0"/>
          </xdr:xfrm>
          <a:graphic>
            <a:graphicData uri="http://schemas.microsoft.com/office/drawing/2010/slicer">
              <sle:slicer xmlns:sle="http://schemas.microsoft.com/office/drawing/2010/slicer" name="Material 1"/>
            </a:graphicData>
          </a:graphic>
        </xdr:graphicFrame>
      </mc:Choice>
      <mc:Fallback>
        <xdr:sp macro="" textlink="">
          <xdr:nvSpPr>
            <xdr:cNvPr id="0" name=""/>
            <xdr:cNvSpPr>
              <a:spLocks noTextEdit="1"/>
            </xdr:cNvSpPr>
          </xdr:nvSpPr>
          <xdr:spPr>
            <a:xfrm>
              <a:off x="0" y="4517572"/>
              <a:ext cx="1426029" cy="2601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65314</xdr:colOff>
      <xdr:row>38</xdr:row>
      <xdr:rowOff>156756</xdr:rowOff>
    </xdr:from>
    <xdr:to>
      <xdr:col>2</xdr:col>
      <xdr:colOff>195943</xdr:colOff>
      <xdr:row>45</xdr:row>
      <xdr:rowOff>54429</xdr:rowOff>
    </xdr:to>
    <mc:AlternateContent xmlns:mc="http://schemas.openxmlformats.org/markup-compatibility/2006">
      <mc:Choice xmlns:a14="http://schemas.microsoft.com/office/drawing/2010/main" Requires="a14">
        <xdr:graphicFrame macro="">
          <xdr:nvGraphicFramePr>
            <xdr:cNvPr id="8" name="Status 1">
              <a:extLst>
                <a:ext uri="{FF2B5EF4-FFF2-40B4-BE49-F238E27FC236}">
                  <a16:creationId xmlns:a16="http://schemas.microsoft.com/office/drawing/2014/main" id="{EA8C021B-B443-4143-BD9A-CE29480C3148}"/>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65314" y="7188927"/>
              <a:ext cx="1349829" cy="1193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337457</xdr:colOff>
      <xdr:row>25</xdr:row>
      <xdr:rowOff>77289</xdr:rowOff>
    </xdr:from>
    <xdr:to>
      <xdr:col>5</xdr:col>
      <xdr:colOff>97971</xdr:colOff>
      <xdr:row>45</xdr:row>
      <xdr:rowOff>32658</xdr:rowOff>
    </xdr:to>
    <mc:AlternateContent xmlns:mc="http://schemas.openxmlformats.org/markup-compatibility/2006">
      <mc:Choice xmlns:a14="http://schemas.microsoft.com/office/drawing/2010/main" Requires="a14">
        <xdr:graphicFrame macro="">
          <xdr:nvGraphicFramePr>
            <xdr:cNvPr id="9" name="Months (Order_Date) 1">
              <a:extLst>
                <a:ext uri="{FF2B5EF4-FFF2-40B4-BE49-F238E27FC236}">
                  <a16:creationId xmlns:a16="http://schemas.microsoft.com/office/drawing/2014/main" id="{2346C5A1-1E2A-49CB-812C-34E082EEA6BB}"/>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dr:sp macro="" textlink="">
          <xdr:nvSpPr>
            <xdr:cNvPr id="0" name=""/>
            <xdr:cNvSpPr>
              <a:spLocks noTextEdit="1"/>
            </xdr:cNvSpPr>
          </xdr:nvSpPr>
          <xdr:spPr>
            <a:xfrm>
              <a:off x="1556657" y="4703718"/>
              <a:ext cx="1589314" cy="36565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51164</xdr:rowOff>
    </xdr:from>
    <xdr:to>
      <xdr:col>2</xdr:col>
      <xdr:colOff>152400</xdr:colOff>
      <xdr:row>24</xdr:row>
      <xdr:rowOff>18507</xdr:rowOff>
    </xdr:to>
    <mc:AlternateContent xmlns:mc="http://schemas.openxmlformats.org/markup-compatibility/2006">
      <mc:Choice xmlns:a14="http://schemas.microsoft.com/office/drawing/2010/main" Requires="a14">
        <xdr:graphicFrame macro="">
          <xdr:nvGraphicFramePr>
            <xdr:cNvPr id="10" name="Warehouse 1">
              <a:extLst>
                <a:ext uri="{FF2B5EF4-FFF2-40B4-BE49-F238E27FC236}">
                  <a16:creationId xmlns:a16="http://schemas.microsoft.com/office/drawing/2014/main" id="{B3646594-78A4-4F0C-9D42-69333654DB6E}"/>
                </a:ext>
              </a:extLst>
            </xdr:cNvPr>
            <xdr:cNvGraphicFramePr/>
          </xdr:nvGraphicFramePr>
          <xdr:xfrm>
            <a:off x="0" y="0"/>
            <a:ext cx="0" cy="0"/>
          </xdr:xfrm>
          <a:graphic>
            <a:graphicData uri="http://schemas.microsoft.com/office/drawing/2010/slicer">
              <sle:slicer xmlns:sle="http://schemas.microsoft.com/office/drawing/2010/slicer" name="Warehouse 1"/>
            </a:graphicData>
          </a:graphic>
        </xdr:graphicFrame>
      </mc:Choice>
      <mc:Fallback>
        <xdr:sp macro="" textlink="">
          <xdr:nvSpPr>
            <xdr:cNvPr id="0" name=""/>
            <xdr:cNvSpPr>
              <a:spLocks noTextEdit="1"/>
            </xdr:cNvSpPr>
          </xdr:nvSpPr>
          <xdr:spPr>
            <a:xfrm>
              <a:off x="0" y="2641964"/>
              <a:ext cx="1371600" cy="1817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10</xdr:row>
      <xdr:rowOff>0</xdr:rowOff>
    </xdr:from>
    <xdr:ext cx="6480000" cy="4320000"/>
    <xdr:graphicFrame macro="">
      <xdr:nvGraphicFramePr>
        <xdr:cNvPr id="2" name="Chart 1">
          <a:extLst>
            <a:ext uri="{FF2B5EF4-FFF2-40B4-BE49-F238E27FC236}">
              <a16:creationId xmlns:a16="http://schemas.microsoft.com/office/drawing/2014/main" id="{7DD3FD8D-7FB2-4527-BA3C-44FCDB453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16</xdr:col>
      <xdr:colOff>0</xdr:colOff>
      <xdr:row>10</xdr:row>
      <xdr:rowOff>0</xdr:rowOff>
    </xdr:from>
    <xdr:ext cx="7920000" cy="4320000"/>
    <xdr:graphicFrame macro="">
      <xdr:nvGraphicFramePr>
        <xdr:cNvPr id="3" name="Chart 2">
          <a:extLst>
            <a:ext uri="{FF2B5EF4-FFF2-40B4-BE49-F238E27FC236}">
              <a16:creationId xmlns:a16="http://schemas.microsoft.com/office/drawing/2014/main" id="{C9652698-E3C0-483A-B7AE-445E84E61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xdr:col>
      <xdr:colOff>7620</xdr:colOff>
      <xdr:row>56</xdr:row>
      <xdr:rowOff>106680</xdr:rowOff>
    </xdr:from>
    <xdr:ext cx="5760000" cy="4320000"/>
    <xdr:graphicFrame macro="">
      <xdr:nvGraphicFramePr>
        <xdr:cNvPr id="4" name="Chart 3">
          <a:extLst>
            <a:ext uri="{FF2B5EF4-FFF2-40B4-BE49-F238E27FC236}">
              <a16:creationId xmlns:a16="http://schemas.microsoft.com/office/drawing/2014/main" id="{74B44135-B133-48AB-866E-3C641EF35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16</xdr:col>
      <xdr:colOff>7620</xdr:colOff>
      <xdr:row>56</xdr:row>
      <xdr:rowOff>106680</xdr:rowOff>
    </xdr:from>
    <xdr:ext cx="5760000" cy="4320000"/>
    <xdr:graphicFrame macro="">
      <xdr:nvGraphicFramePr>
        <xdr:cNvPr id="5" name="Chart 4">
          <a:extLst>
            <a:ext uri="{FF2B5EF4-FFF2-40B4-BE49-F238E27FC236}">
              <a16:creationId xmlns:a16="http://schemas.microsoft.com/office/drawing/2014/main" id="{12B26AF2-4CB4-4A00-B0CB-C4A3C600D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drawings/drawing3.xml><?xml version="1.0" encoding="utf-8"?>
<xdr:wsDr xmlns:xdr="http://schemas.openxmlformats.org/drawingml/2006/spreadsheetDrawing" xmlns:a="http://schemas.openxmlformats.org/drawingml/2006/main">
  <xdr:twoCellAnchor>
    <xdr:from>
      <xdr:col>2</xdr:col>
      <xdr:colOff>91440</xdr:colOff>
      <xdr:row>0</xdr:row>
      <xdr:rowOff>0</xdr:rowOff>
    </xdr:from>
    <xdr:to>
      <xdr:col>7</xdr:col>
      <xdr:colOff>495300</xdr:colOff>
      <xdr:row>13</xdr:row>
      <xdr:rowOff>15240</xdr:rowOff>
    </xdr:to>
    <xdr:graphicFrame macro="">
      <xdr:nvGraphicFramePr>
        <xdr:cNvPr id="2" name="Chart 1">
          <a:extLst>
            <a:ext uri="{FF2B5EF4-FFF2-40B4-BE49-F238E27FC236}">
              <a16:creationId xmlns:a16="http://schemas.microsoft.com/office/drawing/2014/main" id="{D79C63E8-8E12-7AF3-6AD5-13F3463DB0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198120</xdr:colOff>
      <xdr:row>0</xdr:row>
      <xdr:rowOff>0</xdr:rowOff>
    </xdr:from>
    <xdr:to>
      <xdr:col>10</xdr:col>
      <xdr:colOff>320040</xdr:colOff>
      <xdr:row>14</xdr:row>
      <xdr:rowOff>53340</xdr:rowOff>
    </xdr:to>
    <xdr:graphicFrame macro="">
      <xdr:nvGraphicFramePr>
        <xdr:cNvPr id="3" name="Chart 2">
          <a:extLst>
            <a:ext uri="{FF2B5EF4-FFF2-40B4-BE49-F238E27FC236}">
              <a16:creationId xmlns:a16="http://schemas.microsoft.com/office/drawing/2014/main" id="{FF5B8267-AA47-99AE-B6AA-87707B959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129540</xdr:rowOff>
    </xdr:from>
    <xdr:to>
      <xdr:col>3</xdr:col>
      <xdr:colOff>1744980</xdr:colOff>
      <xdr:row>56</xdr:row>
      <xdr:rowOff>175260</xdr:rowOff>
    </xdr:to>
    <xdr:graphicFrame macro="">
      <xdr:nvGraphicFramePr>
        <xdr:cNvPr id="4" name="Chart 3">
          <a:extLst>
            <a:ext uri="{FF2B5EF4-FFF2-40B4-BE49-F238E27FC236}">
              <a16:creationId xmlns:a16="http://schemas.microsoft.com/office/drawing/2014/main" id="{6489DA96-B7AF-001E-61ED-ECD0DFF78B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441960</xdr:colOff>
      <xdr:row>33</xdr:row>
      <xdr:rowOff>0</xdr:rowOff>
    </xdr:from>
    <xdr:to>
      <xdr:col>21</xdr:col>
      <xdr:colOff>502920</xdr:colOff>
      <xdr:row>58</xdr:row>
      <xdr:rowOff>15240</xdr:rowOff>
    </xdr:to>
    <xdr:graphicFrame macro="">
      <xdr:nvGraphicFramePr>
        <xdr:cNvPr id="6" name="Chart 5">
          <a:extLst>
            <a:ext uri="{FF2B5EF4-FFF2-40B4-BE49-F238E27FC236}">
              <a16:creationId xmlns:a16="http://schemas.microsoft.com/office/drawing/2014/main" id="{524B98AF-0146-4CA3-9FA2-01212F459B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731520</xdr:colOff>
      <xdr:row>0</xdr:row>
      <xdr:rowOff>45720</xdr:rowOff>
    </xdr:from>
    <xdr:to>
      <xdr:col>14</xdr:col>
      <xdr:colOff>792480</xdr:colOff>
      <xdr:row>13</xdr:row>
      <xdr:rowOff>152400</xdr:rowOff>
    </xdr:to>
    <xdr:graphicFrame macro="">
      <xdr:nvGraphicFramePr>
        <xdr:cNvPr id="7" name="Chart 6">
          <a:extLst>
            <a:ext uri="{FF2B5EF4-FFF2-40B4-BE49-F238E27FC236}">
              <a16:creationId xmlns:a16="http://schemas.microsoft.com/office/drawing/2014/main" id="{117F2077-D0D6-0137-5D39-B3FD6F4D5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457200</xdr:colOff>
      <xdr:row>0</xdr:row>
      <xdr:rowOff>7620</xdr:rowOff>
    </xdr:from>
    <xdr:to>
      <xdr:col>25</xdr:col>
      <xdr:colOff>822960</xdr:colOff>
      <xdr:row>14</xdr:row>
      <xdr:rowOff>28575</xdr:rowOff>
    </xdr:to>
    <mc:AlternateContent xmlns:mc="http://schemas.openxmlformats.org/markup-compatibility/2006">
      <mc:Choice xmlns:a14="http://schemas.microsoft.com/office/drawing/2010/main" Requires="a14">
        <xdr:graphicFrame macro="">
          <xdr:nvGraphicFramePr>
            <xdr:cNvPr id="8" name="Supplier_ID">
              <a:extLst>
                <a:ext uri="{FF2B5EF4-FFF2-40B4-BE49-F238E27FC236}">
                  <a16:creationId xmlns:a16="http://schemas.microsoft.com/office/drawing/2014/main" id="{0B87F66F-F85A-A594-1A42-889D4662625C}"/>
                </a:ext>
              </a:extLst>
            </xdr:cNvPr>
            <xdr:cNvGraphicFramePr/>
          </xdr:nvGraphicFramePr>
          <xdr:xfrm>
            <a:off x="0" y="0"/>
            <a:ext cx="0" cy="0"/>
          </xdr:xfrm>
          <a:graphic>
            <a:graphicData uri="http://schemas.microsoft.com/office/drawing/2010/slicer">
              <sle:slicer xmlns:sle="http://schemas.microsoft.com/office/drawing/2010/slicer" name="Supplier_ID"/>
            </a:graphicData>
          </a:graphic>
        </xdr:graphicFrame>
      </mc:Choice>
      <mc:Fallback>
        <xdr:sp macro="" textlink="">
          <xdr:nvSpPr>
            <xdr:cNvPr id="0" name=""/>
            <xdr:cNvSpPr>
              <a:spLocks noTextEdit="1"/>
            </xdr:cNvSpPr>
          </xdr:nvSpPr>
          <xdr:spPr>
            <a:xfrm>
              <a:off x="21122640" y="76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594360</xdr:colOff>
      <xdr:row>0</xdr:row>
      <xdr:rowOff>76200</xdr:rowOff>
    </xdr:from>
    <xdr:to>
      <xdr:col>23</xdr:col>
      <xdr:colOff>335280</xdr:colOff>
      <xdr:row>14</xdr:row>
      <xdr:rowOff>97155</xdr:rowOff>
    </xdr:to>
    <mc:AlternateContent xmlns:mc="http://schemas.openxmlformats.org/markup-compatibility/2006">
      <mc:Choice xmlns:a14="http://schemas.microsoft.com/office/drawing/2010/main" Requires="a14">
        <xdr:graphicFrame macro="">
          <xdr:nvGraphicFramePr>
            <xdr:cNvPr id="9" name="Material">
              <a:extLst>
                <a:ext uri="{FF2B5EF4-FFF2-40B4-BE49-F238E27FC236}">
                  <a16:creationId xmlns:a16="http://schemas.microsoft.com/office/drawing/2014/main" id="{957054A7-5D6E-9EF2-B960-B15B8834D0F8}"/>
                </a:ext>
              </a:extLst>
            </xdr:cNvPr>
            <xdr:cNvGraphicFramePr/>
          </xdr:nvGraphicFramePr>
          <xdr:xfrm>
            <a:off x="0" y="0"/>
            <a:ext cx="0" cy="0"/>
          </xdr:xfrm>
          <a:graphic>
            <a:graphicData uri="http://schemas.microsoft.com/office/drawing/2010/slicer">
              <sle:slicer xmlns:sle="http://schemas.microsoft.com/office/drawing/2010/slicer" name="Material"/>
            </a:graphicData>
          </a:graphic>
        </xdr:graphicFrame>
      </mc:Choice>
      <mc:Fallback>
        <xdr:sp macro="" textlink="">
          <xdr:nvSpPr>
            <xdr:cNvPr id="0" name=""/>
            <xdr:cNvSpPr>
              <a:spLocks noTextEdit="1"/>
            </xdr:cNvSpPr>
          </xdr:nvSpPr>
          <xdr:spPr>
            <a:xfrm>
              <a:off x="19171920" y="762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762000</xdr:colOff>
      <xdr:row>0</xdr:row>
      <xdr:rowOff>76201</xdr:rowOff>
    </xdr:from>
    <xdr:to>
      <xdr:col>20</xdr:col>
      <xdr:colOff>563880</xdr:colOff>
      <xdr:row>8</xdr:row>
      <xdr:rowOff>114301</xdr:rowOff>
    </xdr:to>
    <mc:AlternateContent xmlns:mc="http://schemas.openxmlformats.org/markup-compatibility/2006">
      <mc:Choice xmlns:a14="http://schemas.microsoft.com/office/drawing/2010/main" Requires="a14">
        <xdr:graphicFrame macro="">
          <xdr:nvGraphicFramePr>
            <xdr:cNvPr id="10" name="Status">
              <a:extLst>
                <a:ext uri="{FF2B5EF4-FFF2-40B4-BE49-F238E27FC236}">
                  <a16:creationId xmlns:a16="http://schemas.microsoft.com/office/drawing/2014/main" id="{0C707B21-D159-2789-1DB9-294DC377A5F2}"/>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7312640" y="76201"/>
              <a:ext cx="1828800" cy="1501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30480</xdr:colOff>
      <xdr:row>0</xdr:row>
      <xdr:rowOff>114300</xdr:rowOff>
    </xdr:from>
    <xdr:to>
      <xdr:col>17</xdr:col>
      <xdr:colOff>685800</xdr:colOff>
      <xdr:row>14</xdr:row>
      <xdr:rowOff>135255</xdr:rowOff>
    </xdr:to>
    <mc:AlternateContent xmlns:mc="http://schemas.openxmlformats.org/markup-compatibility/2006">
      <mc:Choice xmlns:a14="http://schemas.microsoft.com/office/drawing/2010/main" Requires="a14">
        <xdr:graphicFrame macro="">
          <xdr:nvGraphicFramePr>
            <xdr:cNvPr id="11" name="Months (Order_Date)">
              <a:extLst>
                <a:ext uri="{FF2B5EF4-FFF2-40B4-BE49-F238E27FC236}">
                  <a16:creationId xmlns:a16="http://schemas.microsoft.com/office/drawing/2014/main" id="{9E6CD71F-4654-CA20-3A79-531A51B22166}"/>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15407640" y="1143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899160</xdr:colOff>
      <xdr:row>0</xdr:row>
      <xdr:rowOff>0</xdr:rowOff>
    </xdr:from>
    <xdr:to>
      <xdr:col>27</xdr:col>
      <xdr:colOff>678180</xdr:colOff>
      <xdr:row>14</xdr:row>
      <xdr:rowOff>20955</xdr:rowOff>
    </xdr:to>
    <mc:AlternateContent xmlns:mc="http://schemas.openxmlformats.org/markup-compatibility/2006">
      <mc:Choice xmlns:a14="http://schemas.microsoft.com/office/drawing/2010/main" Requires="a14">
        <xdr:graphicFrame macro="">
          <xdr:nvGraphicFramePr>
            <xdr:cNvPr id="12" name="Warehouse">
              <a:extLst>
                <a:ext uri="{FF2B5EF4-FFF2-40B4-BE49-F238E27FC236}">
                  <a16:creationId xmlns:a16="http://schemas.microsoft.com/office/drawing/2014/main" id="{9EEE4DD2-4A1D-DF48-4F13-9DB831C54CAE}"/>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dr:sp macro="" textlink="">
          <xdr:nvSpPr>
            <xdr:cNvPr id="0" name=""/>
            <xdr:cNvSpPr>
              <a:spLocks noTextEdit="1"/>
            </xdr:cNvSpPr>
          </xdr:nvSpPr>
          <xdr:spPr>
            <a:xfrm>
              <a:off x="23027640" y="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hu\Downloads\Procurement_Dashboard_Enhanced.xlsx" TargetMode="External"/><Relationship Id="rId1" Type="http://schemas.openxmlformats.org/officeDocument/2006/relationships/externalLinkPath" Target="file:///C:\Users\madhu\Downloads\Procurement_Dashboard_Enhanc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_Data"/>
      <sheetName val="🏭 Suppliers"/>
    </sheetNames>
    <sheetDataSet>
      <sheetData sheetId="0">
        <row r="1">
          <cell r="B1" t="str">
            <v>Spend</v>
          </cell>
          <cell r="C1" t="str">
            <v>Payments</v>
          </cell>
          <cell r="F1" t="str">
            <v>Pct</v>
          </cell>
          <cell r="J1" t="str">
            <v>InvValue</v>
          </cell>
        </row>
        <row r="2">
          <cell r="A2" t="str">
            <v>Jan</v>
          </cell>
          <cell r="B2">
            <v>1743132</v>
          </cell>
          <cell r="C2">
            <v>1895543</v>
          </cell>
          <cell r="E2" t="str">
            <v>Chemicals</v>
          </cell>
          <cell r="F2">
            <v>21.79</v>
          </cell>
          <cell r="H2" t="str">
            <v>Atlanta</v>
          </cell>
          <cell r="J2">
            <v>5518326</v>
          </cell>
        </row>
        <row r="3">
          <cell r="A3" t="str">
            <v>Feb</v>
          </cell>
          <cell r="B3">
            <v>915804</v>
          </cell>
          <cell r="C3">
            <v>980107</v>
          </cell>
          <cell r="E3" t="str">
            <v>Electronics</v>
          </cell>
          <cell r="F3">
            <v>13.13</v>
          </cell>
          <cell r="H3" t="str">
            <v>Chicago</v>
          </cell>
          <cell r="J3">
            <v>5316735</v>
          </cell>
        </row>
        <row r="4">
          <cell r="A4" t="str">
            <v>Mar</v>
          </cell>
          <cell r="B4">
            <v>792360</v>
          </cell>
          <cell r="C4">
            <v>662516</v>
          </cell>
          <cell r="E4" t="str">
            <v>Mechanical</v>
          </cell>
          <cell r="F4">
            <v>26.25</v>
          </cell>
          <cell r="H4" t="str">
            <v>Dallas</v>
          </cell>
          <cell r="J4">
            <v>5345001</v>
          </cell>
        </row>
        <row r="5">
          <cell r="A5" t="str">
            <v>Apr</v>
          </cell>
          <cell r="B5">
            <v>864086</v>
          </cell>
          <cell r="C5">
            <v>938369</v>
          </cell>
          <cell r="E5" t="str">
            <v>Packaging</v>
          </cell>
          <cell r="F5">
            <v>10.65</v>
          </cell>
          <cell r="H5" t="str">
            <v>New York</v>
          </cell>
          <cell r="J5">
            <v>3453029</v>
          </cell>
        </row>
        <row r="6">
          <cell r="A6" t="str">
            <v>May</v>
          </cell>
          <cell r="B6">
            <v>1541075</v>
          </cell>
          <cell r="C6">
            <v>1653271</v>
          </cell>
          <cell r="E6" t="str">
            <v>Plastic</v>
          </cell>
          <cell r="F6">
            <v>24.81</v>
          </cell>
          <cell r="H6" t="str">
            <v>Phoenix</v>
          </cell>
          <cell r="J6">
            <v>5065831</v>
          </cell>
        </row>
        <row r="7">
          <cell r="A7" t="str">
            <v>Jun</v>
          </cell>
          <cell r="B7">
            <v>971692</v>
          </cell>
          <cell r="C7">
            <v>1250323</v>
          </cell>
          <cell r="E7" t="str">
            <v>Raw Materials</v>
          </cell>
          <cell r="F7">
            <v>3.36</v>
          </cell>
        </row>
        <row r="8">
          <cell r="A8" t="str">
            <v>Jul</v>
          </cell>
          <cell r="B8">
            <v>1145358</v>
          </cell>
          <cell r="C8">
            <v>1121723</v>
          </cell>
        </row>
        <row r="9">
          <cell r="A9" t="str">
            <v>Aug</v>
          </cell>
          <cell r="B9">
            <v>708923</v>
          </cell>
          <cell r="C9">
            <v>634313</v>
          </cell>
        </row>
        <row r="10">
          <cell r="A10" t="str">
            <v>Sep</v>
          </cell>
          <cell r="B10">
            <v>1210333</v>
          </cell>
          <cell r="C10">
            <v>1436406</v>
          </cell>
        </row>
        <row r="11">
          <cell r="A11" t="str">
            <v>Oct</v>
          </cell>
          <cell r="B11">
            <v>945460</v>
          </cell>
          <cell r="C11">
            <v>1044033</v>
          </cell>
        </row>
        <row r="12">
          <cell r="A12" t="str">
            <v>Nov</v>
          </cell>
          <cell r="B12">
            <v>1073550</v>
          </cell>
          <cell r="C12">
            <v>1086457</v>
          </cell>
        </row>
        <row r="13">
          <cell r="A13" t="str">
            <v>Dec</v>
          </cell>
          <cell r="B13">
            <v>494296</v>
          </cell>
          <cell r="C13">
            <v>657404</v>
          </cell>
        </row>
      </sheetData>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 Bharti" refreshedDate="46206.025842824078" createdVersion="8" refreshedVersion="8" minRefreshableVersion="3" recordCount="200" xr:uid="{4A3525B5-66C2-407E-9C47-D3F03493F2AC}">
  <cacheSource type="worksheet">
    <worksheetSource name="clean_purchase_orders"/>
  </cacheSource>
  <cacheFields count="12">
    <cacheField name="PO_Number" numFmtId="0">
      <sharedItems/>
    </cacheField>
    <cacheField name="Supplier_ID" numFmtId="0">
      <sharedItems count="48">
        <s v="SUP037"/>
        <s v="SUP013"/>
        <s v="SUP027"/>
        <s v="SUP026"/>
        <s v="SUP018"/>
        <s v="SUP007"/>
        <s v="SUP049"/>
        <s v="SUP031"/>
        <s v="SUP025"/>
        <s v="SUP028"/>
        <s v="SUP035"/>
        <s v="SUP038"/>
        <s v="SUP033"/>
        <s v="SUP005"/>
        <s v="SUP014"/>
        <s v="SUP017"/>
        <s v="SUP024"/>
        <s v="SUP020"/>
        <s v="SUP036"/>
        <s v="SUP008"/>
        <s v="SUP019"/>
        <s v="SUP041"/>
        <s v="SUP004"/>
        <s v="SUP001"/>
        <s v="SUP048"/>
        <s v="SUP003"/>
        <s v="SUP044"/>
        <s v="SUP012"/>
        <s v="SUP022"/>
        <s v="SUP011"/>
        <s v="SUP015"/>
        <s v="SUP021"/>
        <s v="SUP034"/>
        <s v="SUP043"/>
        <s v="SUP009"/>
        <s v="SUP029"/>
        <s v="SUP016"/>
        <s v="SUP030"/>
        <s v="SUP006"/>
        <s v="SUP010"/>
        <s v="SUP032"/>
        <s v="SUP002"/>
        <s v="SUP042"/>
        <s v="SUP045"/>
        <s v="SUP050"/>
        <s v="SUP023"/>
        <s v="SUP040"/>
        <s v="SUP039"/>
      </sharedItems>
    </cacheField>
    <cacheField name="Material" numFmtId="0">
      <sharedItems count="10">
        <s v="Aluminum Plate"/>
        <s v="Sensor"/>
        <s v="Copper Wire"/>
        <s v="Motor"/>
        <s v="Bearing"/>
        <s v="Steel Rod"/>
        <s v="Transformer"/>
        <s v="Plastic Sheet"/>
        <s v="Rubber Seal"/>
        <s v="Circuit Board"/>
      </sharedItems>
    </cacheField>
    <cacheField name="Order_Date" numFmtId="14">
      <sharedItems containsSemiMixedTypes="0" containsNonDate="0" containsDate="1" containsString="0" minDate="2025-07-01T00:00:00" maxDate="2026-07-02T00:00:00" count="154">
        <d v="2026-05-28T00:00:00"/>
        <d v="2025-07-24T00:00:00"/>
        <d v="2025-09-09T00:00:00"/>
        <d v="2025-12-19T00:00:00"/>
        <d v="2026-03-11T00:00:00"/>
        <d v="2026-05-03T00:00:00"/>
        <d v="2025-10-28T00:00:00"/>
        <d v="2025-09-28T00:00:00"/>
        <d v="2026-04-02T00:00:00"/>
        <d v="2026-01-02T00:00:00"/>
        <d v="2026-04-22T00:00:00"/>
        <d v="2025-08-23T00:00:00"/>
        <d v="2026-03-15T00:00:00"/>
        <d v="2025-12-20T00:00:00"/>
        <d v="2026-05-16T00:00:00"/>
        <d v="2026-02-10T00:00:00"/>
        <d v="2025-11-30T00:00:00"/>
        <d v="2025-10-25T00:00:00"/>
        <d v="2026-01-08T00:00:00"/>
        <d v="2025-07-16T00:00:00"/>
        <d v="2026-01-27T00:00:00"/>
        <d v="2026-03-06T00:00:00"/>
        <d v="2025-11-09T00:00:00"/>
        <d v="2026-02-13T00:00:00"/>
        <d v="2026-04-24T00:00:00"/>
        <d v="2025-12-02T00:00:00"/>
        <d v="2025-09-04T00:00:00"/>
        <d v="2025-07-26T00:00:00"/>
        <d v="2025-10-21T00:00:00"/>
        <d v="2025-09-21T00:00:00"/>
        <d v="2026-02-07T00:00:00"/>
        <d v="2026-01-11T00:00:00"/>
        <d v="2025-09-24T00:00:00"/>
        <d v="2026-03-29T00:00:00"/>
        <d v="2026-01-09T00:00:00"/>
        <d v="2026-05-05T00:00:00"/>
        <d v="2025-10-24T00:00:00"/>
        <d v="2026-02-23T00:00:00"/>
        <d v="2026-01-24T00:00:00"/>
        <d v="2026-01-04T00:00:00"/>
        <d v="2026-05-21T00:00:00"/>
        <d v="2026-02-08T00:00:00"/>
        <d v="2026-04-03T00:00:00"/>
        <d v="2025-11-17T00:00:00"/>
        <d v="2026-01-20T00:00:00"/>
        <d v="2025-10-16T00:00:00"/>
        <d v="2026-07-01T00:00:00"/>
        <d v="2026-01-16T00:00:00"/>
        <d v="2025-08-28T00:00:00"/>
        <d v="2025-12-09T00:00:00"/>
        <d v="2025-08-15T00:00:00"/>
        <d v="2026-04-30T00:00:00"/>
        <d v="2026-06-18T00:00:00"/>
        <d v="2026-06-03T00:00:00"/>
        <d v="2025-09-19T00:00:00"/>
        <d v="2025-10-31T00:00:00"/>
        <d v="2025-11-11T00:00:00"/>
        <d v="2026-02-05T00:00:00"/>
        <d v="2025-11-21T00:00:00"/>
        <d v="2025-07-27T00:00:00"/>
        <d v="2026-05-08T00:00:00"/>
        <d v="2026-05-04T00:00:00"/>
        <d v="2026-01-10T00:00:00"/>
        <d v="2025-07-19T00:00:00"/>
        <d v="2025-09-14T00:00:00"/>
        <d v="2025-07-23T00:00:00"/>
        <d v="2025-12-18T00:00:00"/>
        <d v="2026-06-11T00:00:00"/>
        <d v="2025-11-25T00:00:00"/>
        <d v="2026-03-04T00:00:00"/>
        <d v="2026-06-27T00:00:00"/>
        <d v="2026-06-17T00:00:00"/>
        <d v="2025-09-25T00:00:00"/>
        <d v="2025-11-26T00:00:00"/>
        <d v="2025-08-13T00:00:00"/>
        <d v="2026-01-06T00:00:00"/>
        <d v="2026-05-06T00:00:00"/>
        <d v="2026-04-28T00:00:00"/>
        <d v="2026-02-12T00:00:00"/>
        <d v="2026-06-02T00:00:00"/>
        <d v="2026-02-02T00:00:00"/>
        <d v="2025-09-26T00:00:00"/>
        <d v="2026-02-06T00:00:00"/>
        <d v="2025-07-15T00:00:00"/>
        <d v="2026-04-21T00:00:00"/>
        <d v="2026-01-26T00:00:00"/>
        <d v="2025-12-12T00:00:00"/>
        <d v="2025-09-15T00:00:00"/>
        <d v="2026-06-01T00:00:00"/>
        <d v="2026-06-09T00:00:00"/>
        <d v="2025-08-09T00:00:00"/>
        <d v="2026-06-06T00:00:00"/>
        <d v="2025-09-11T00:00:00"/>
        <d v="2025-07-09T00:00:00"/>
        <d v="2025-11-06T00:00:00"/>
        <d v="2025-09-02T00:00:00"/>
        <d v="2026-02-01T00:00:00"/>
        <d v="2025-07-01T00:00:00"/>
        <d v="2025-07-25T00:00:00"/>
        <d v="2026-04-29T00:00:00"/>
        <d v="2026-02-22T00:00:00"/>
        <d v="2025-07-12T00:00:00"/>
        <d v="2026-04-15T00:00:00"/>
        <d v="2025-10-05T00:00:00"/>
        <d v="2025-08-02T00:00:00"/>
        <d v="2026-05-29T00:00:00"/>
        <d v="2026-04-13T00:00:00"/>
        <d v="2025-09-13T00:00:00"/>
        <d v="2025-11-22T00:00:00"/>
        <d v="2026-05-02T00:00:00"/>
        <d v="2025-08-22T00:00:00"/>
        <d v="2025-10-20T00:00:00"/>
        <d v="2025-07-30T00:00:00"/>
        <d v="2026-01-23T00:00:00"/>
        <d v="2025-07-20T00:00:00"/>
        <d v="2025-11-03T00:00:00"/>
        <d v="2026-06-25T00:00:00"/>
        <d v="2026-01-03T00:00:00"/>
        <d v="2026-06-24T00:00:00"/>
        <d v="2025-11-28T00:00:00"/>
        <d v="2025-07-05T00:00:00"/>
        <d v="2026-05-30T00:00:00"/>
        <d v="2026-01-25T00:00:00"/>
        <d v="2026-01-28T00:00:00"/>
        <d v="2025-08-20T00:00:00"/>
        <d v="2026-06-16T00:00:00"/>
        <d v="2026-01-07T00:00:00"/>
        <d v="2026-01-12T00:00:00"/>
        <d v="2025-11-18T00:00:00"/>
        <d v="2025-09-01T00:00:00"/>
        <d v="2025-07-13T00:00:00"/>
        <d v="2025-12-28T00:00:00"/>
        <d v="2025-12-16T00:00:00"/>
        <d v="2025-10-26T00:00:00"/>
        <d v="2026-02-25T00:00:00"/>
        <d v="2026-01-19T00:00:00"/>
        <d v="2025-08-31T00:00:00"/>
        <d v="2025-07-14T00:00:00"/>
        <d v="2025-12-11T00:00:00"/>
        <d v="2026-05-20T00:00:00"/>
        <d v="2026-03-27T00:00:00"/>
        <d v="2026-04-18T00:00:00"/>
        <d v="2025-08-16T00:00:00"/>
        <d v="2026-06-05T00:00:00"/>
        <d v="2025-10-09T00:00:00"/>
        <d v="2025-09-05T00:00:00"/>
        <d v="2026-05-26T00:00:00"/>
        <d v="2025-07-31T00:00:00"/>
        <d v="2026-03-20T00:00:00"/>
        <d v="2025-12-29T00:00:00"/>
        <d v="2025-12-27T00:00:00"/>
        <d v="2025-12-08T00:00:00"/>
        <d v="2026-03-12T00:00:00"/>
        <d v="2025-10-04T00:00:00"/>
      </sharedItems>
      <fieldGroup par="11"/>
    </cacheField>
    <cacheField name="Expected_Delivery" numFmtId="14">
      <sharedItems containsSemiMixedTypes="0" containsNonDate="0" containsDate="1" containsString="0" minDate="2025-07-13T00:00:00" maxDate="2026-07-16T00:00:00"/>
    </cacheField>
    <cacheField name="Quantity" numFmtId="0">
      <sharedItems containsSemiMixedTypes="0" containsString="0" containsNumber="1" containsInteger="1" minValue="21" maxValue="499"/>
    </cacheField>
    <cacheField name="Unit_Price" numFmtId="0">
      <sharedItems containsSemiMixedTypes="0" containsString="0" containsNumber="1" containsInteger="1" minValue="20" maxValue="500"/>
    </cacheField>
    <cacheField name="PO_Amount" numFmtId="0">
      <sharedItems containsSemiMixedTypes="0" containsString="0" containsNumber="1" containsInteger="1" minValue="2788" maxValue="212976"/>
    </cacheField>
    <cacheField name="Status" numFmtId="0">
      <sharedItems count="3">
        <s v="Closed"/>
        <s v="Open"/>
        <s v="Cancelled"/>
      </sharedItems>
    </cacheField>
    <cacheField name="Months (Order_Date)" numFmtId="0" databaseField="0">
      <fieldGroup base="3">
        <rangePr groupBy="months" startDate="2025-07-01T00:00:00" endDate="2026-07-02T00:00:00"/>
        <groupItems count="14">
          <s v="&lt;7/1/2025"/>
          <s v="Jan"/>
          <s v="Feb"/>
          <s v="Mar"/>
          <s v="Apr"/>
          <s v="May"/>
          <s v="Jun"/>
          <s v="Jul"/>
          <s v="Aug"/>
          <s v="Sep"/>
          <s v="Oct"/>
          <s v="Nov"/>
          <s v="Dec"/>
          <s v="&gt;7/2/2026"/>
        </groupItems>
      </fieldGroup>
    </cacheField>
    <cacheField name="Quarters (Order_Date)" numFmtId="0" databaseField="0">
      <fieldGroup base="3">
        <rangePr groupBy="quarters" startDate="2025-07-01T00:00:00" endDate="2026-07-02T00:00:00"/>
        <groupItems count="6">
          <s v="&lt;7/1/2025"/>
          <s v="Qtr1"/>
          <s v="Qtr2"/>
          <s v="Qtr3"/>
          <s v="Qtr4"/>
          <s v="&gt;7/2/2026"/>
        </groupItems>
      </fieldGroup>
    </cacheField>
    <cacheField name="Years (Order_Date)" numFmtId="0" databaseField="0">
      <fieldGroup base="3">
        <rangePr groupBy="years" startDate="2025-07-01T00:00:00" endDate="2026-07-02T00:00:00"/>
        <groupItems count="4">
          <s v="&lt;7/1/2025"/>
          <s v="2025"/>
          <s v="2026"/>
          <s v="&gt;7/2/2026"/>
        </groupItems>
      </fieldGroup>
    </cacheField>
  </cacheFields>
  <extLst>
    <ext xmlns:x14="http://schemas.microsoft.com/office/spreadsheetml/2009/9/main" uri="{725AE2AE-9491-48be-B2B4-4EB974FC3084}">
      <x14:pivotCacheDefinition pivotCacheId="11683260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 Bharti" refreshedDate="46206.030246759263" createdVersion="8" refreshedVersion="8" minRefreshableVersion="3" recordCount="50" xr:uid="{31466907-1F2B-48A9-B457-BD32B7997F5F}">
  <cacheSource type="worksheet">
    <worksheetSource name="Suppliers"/>
  </cacheSource>
  <cacheFields count="6">
    <cacheField name="Supplier_ID" numFmtId="0">
      <sharedItems/>
    </cacheField>
    <cacheField name="Supplier_Name" numFmtId="0">
      <sharedItems count="50">
        <s v="Huynh, Lopez And Jones"/>
        <s v="Cooper, Monroe And Gutierrez"/>
        <s v="Hamilton Llc"/>
        <s v="Miller And Sons"/>
        <s v="Tate Plc"/>
        <s v="Elliott-Carr"/>
        <s v="Barnett Ltd"/>
        <s v="Black-Figueroa"/>
        <s v="French-Johnson"/>
        <s v="Miller, Jones And Washington"/>
        <s v="Miller-Lawrence"/>
        <s v="Willis-Nicholson"/>
        <s v="Rodriguez-Harris"/>
        <s v="Wiggins, Flores And Wright"/>
        <s v="Quinn Llc"/>
        <s v="Rodriguez Ltd"/>
        <s v="Velez Plc"/>
        <s v="Delgado-Smith"/>
        <s v="Mitchell Llc"/>
        <s v="Scott, Brooks And Howell"/>
        <s v="Berg, Caldwell And Wood"/>
        <s v="Duncan, Fry And Wade"/>
        <s v="Morris, Richards And Martin"/>
        <s v="Meyer, Ellis And Garcia"/>
        <s v="Webb-Robinson"/>
        <s v="Galvan-Brown"/>
        <s v="Zimmerman Group"/>
        <s v="Owen Llc"/>
        <s v="Klein, Hayes And Short"/>
        <s v="Anderson, Little And Woodward"/>
        <s v="Harris-Shelton"/>
        <s v="Gonzales, Patterson And Clark"/>
        <s v="Snyder-Davis"/>
        <s v="Johnson, Terrell And Moore"/>
        <s v="White Llc"/>
        <s v="Hunt Llc"/>
        <s v="Reyes, Perez And Morgan"/>
        <s v="Williams, Chavez And Barker"/>
        <s v="Williams-Cruz"/>
        <s v="Mills, Russell And Fischer"/>
        <s v="Banks, Carter And Alexander"/>
        <s v="Lindsey And Sons"/>
        <s v="Santos And Sons"/>
        <s v="Adams-Day"/>
        <s v="Martinez-Warren"/>
        <s v="Moody-Moore"/>
        <s v="Davis, Ross And Gillespie"/>
        <s v="Valdez Inc"/>
        <s v="Gallagher-Crane"/>
        <s v="Garrison-Fowler"/>
      </sharedItems>
    </cacheField>
    <cacheField name="Country" numFmtId="0">
      <sharedItems/>
    </cacheField>
    <cacheField name="Category" numFmtId="0">
      <sharedItems/>
    </cacheField>
    <cacheField name="Lead_Time_Days" numFmtId="0">
      <sharedItems containsSemiMixedTypes="0" containsString="0" containsNumber="1" containsInteger="1" minValue="4" maxValue="25"/>
    </cacheField>
    <cacheField name="Supplier_Rating" numFmtId="0">
      <sharedItems containsSemiMixedTypes="0" containsString="0" containsNumber="1" minValue="3.5"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 Bharti" refreshedDate="46206.036747916667" createdVersion="8" refreshedVersion="8" minRefreshableVersion="3" recordCount="200" xr:uid="{799B2B12-243A-4187-B582-FC0FAB87B936}">
  <cacheSource type="worksheet">
    <worksheetSource name="clean_inventory"/>
  </cacheSource>
  <cacheFields count="7">
    <cacheField name="Item_ID" numFmtId="0">
      <sharedItems/>
    </cacheField>
    <cacheField name="Material" numFmtId="0">
      <sharedItems count="10">
        <s v="Rubber Seal"/>
        <s v="Sensor"/>
        <s v="Transformer"/>
        <s v="Steel Rod"/>
        <s v="Circuit Board"/>
        <s v="Copper Wire"/>
        <s v="Bearing"/>
        <s v="Plastic Sheet"/>
        <s v="Aluminum Plate"/>
        <s v="Motor"/>
      </sharedItems>
    </cacheField>
    <cacheField name="Warehouse" numFmtId="0">
      <sharedItems count="5">
        <s v="Phoenix"/>
        <s v="Atlanta"/>
        <s v="Chicago"/>
        <s v="New York"/>
        <s v="Dallas"/>
      </sharedItems>
    </cacheField>
    <cacheField name="Stock" numFmtId="0">
      <sharedItems containsSemiMixedTypes="0" containsString="0" containsNumber="1" containsInteger="1" minValue="26" maxValue="1000"/>
    </cacheField>
    <cacheField name="Reorder_Level" numFmtId="0">
      <sharedItems containsSemiMixedTypes="0" containsString="0" containsNumber="1" containsInteger="1" minValue="50" maxValue="200"/>
    </cacheField>
    <cacheField name="Inventory_Value" numFmtId="0">
      <sharedItems containsSemiMixedTypes="0" containsString="0" containsNumber="1" containsInteger="1" minValue="1246" maxValue="489540"/>
    </cacheField>
    <cacheField name="Low_Stock" numFmtId="0">
      <sharedItems/>
    </cacheField>
  </cacheFields>
  <extLst>
    <ext xmlns:x14="http://schemas.microsoft.com/office/spreadsheetml/2009/9/main" uri="{725AE2AE-9491-48be-B2B4-4EB974FC3084}">
      <x14:pivotCacheDefinition pivotCacheId="135544247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 Bharti" refreshedDate="46206.049666087965" createdVersion="8" refreshedVersion="8" minRefreshableVersion="3" recordCount="200" xr:uid="{BA383AC1-C4C0-411D-9E2D-913E60E9B370}">
  <cacheSource type="worksheet">
    <worksheetSource name="Merge1"/>
  </cacheSource>
  <cacheFields count="10">
    <cacheField name="PO_Number" numFmtId="0">
      <sharedItems/>
    </cacheField>
    <cacheField name="Supplier_ID" numFmtId="0">
      <sharedItems/>
    </cacheField>
    <cacheField name="Material" numFmtId="0">
      <sharedItems/>
    </cacheField>
    <cacheField name="Order_Date" numFmtId="22">
      <sharedItems containsSemiMixedTypes="0" containsNonDate="0" containsDate="1" containsString="0" minDate="2025-07-01T00:00:00" maxDate="2026-07-02T00:00:00"/>
    </cacheField>
    <cacheField name="Expected_Delivery" numFmtId="22">
      <sharedItems containsSemiMixedTypes="0" containsNonDate="0" containsDate="1" containsString="0" minDate="2025-07-13T00:00:00" maxDate="2026-07-16T00:00:00"/>
    </cacheField>
    <cacheField name="Quantity" numFmtId="0">
      <sharedItems containsSemiMixedTypes="0" containsString="0" containsNumber="1" containsInteger="1" minValue="21" maxValue="499"/>
    </cacheField>
    <cacheField name="Unit_Price" numFmtId="0">
      <sharedItems containsSemiMixedTypes="0" containsString="0" containsNumber="1" containsInteger="1" minValue="20" maxValue="500"/>
    </cacheField>
    <cacheField name="PO_Amount" numFmtId="0">
      <sharedItems containsSemiMixedTypes="0" containsString="0" containsNumber="1" containsInteger="1" minValue="2788" maxValue="212976"/>
    </cacheField>
    <cacheField name="Status" numFmtId="0">
      <sharedItems/>
    </cacheField>
    <cacheField name="Category" numFmtId="0">
      <sharedItems count="6">
        <s v="Chemicals"/>
        <s v="Electronics"/>
        <s v="Packaging"/>
        <s v="Mechanical"/>
        <s v="Plastic"/>
        <s v="Raw Material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PO0001"/>
    <x v="0"/>
    <x v="0"/>
    <x v="0"/>
    <d v="2026-06-07T00:00:00"/>
    <n v="315"/>
    <n v="262"/>
    <n v="82530"/>
    <x v="0"/>
  </r>
  <r>
    <s v="PO0002"/>
    <x v="1"/>
    <x v="1"/>
    <x v="1"/>
    <d v="2025-08-09T00:00:00"/>
    <n v="68"/>
    <n v="69"/>
    <n v="4692"/>
    <x v="0"/>
  </r>
  <r>
    <s v="PO0003"/>
    <x v="2"/>
    <x v="2"/>
    <x v="2"/>
    <d v="2025-09-13T00:00:00"/>
    <n v="259"/>
    <n v="462"/>
    <n v="119658"/>
    <x v="1"/>
  </r>
  <r>
    <s v="PO0004"/>
    <x v="3"/>
    <x v="3"/>
    <x v="3"/>
    <d v="2025-12-25T00:00:00"/>
    <n v="392"/>
    <n v="193"/>
    <n v="75656"/>
    <x v="1"/>
  </r>
  <r>
    <s v="PO0005"/>
    <x v="1"/>
    <x v="4"/>
    <x v="4"/>
    <d v="2026-03-18T00:00:00"/>
    <n v="294"/>
    <n v="249"/>
    <n v="73206"/>
    <x v="1"/>
  </r>
  <r>
    <s v="PO0006"/>
    <x v="4"/>
    <x v="0"/>
    <x v="5"/>
    <d v="2026-05-08T00:00:00"/>
    <n v="256"/>
    <n v="147"/>
    <n v="37632"/>
    <x v="2"/>
  </r>
  <r>
    <s v="PO0007"/>
    <x v="5"/>
    <x v="5"/>
    <x v="6"/>
    <d v="2025-11-17T00:00:00"/>
    <n v="45"/>
    <n v="353"/>
    <n v="15885"/>
    <x v="1"/>
  </r>
  <r>
    <s v="PO0008"/>
    <x v="6"/>
    <x v="4"/>
    <x v="3"/>
    <d v="2025-12-27T00:00:00"/>
    <n v="454"/>
    <n v="141"/>
    <n v="64014"/>
    <x v="0"/>
  </r>
  <r>
    <s v="PO0009"/>
    <x v="7"/>
    <x v="5"/>
    <x v="7"/>
    <d v="2025-10-13T00:00:00"/>
    <n v="129"/>
    <n v="462"/>
    <n v="59598"/>
    <x v="1"/>
  </r>
  <r>
    <s v="PO0010"/>
    <x v="8"/>
    <x v="0"/>
    <x v="8"/>
    <d v="2026-04-13T00:00:00"/>
    <n v="21"/>
    <n v="219"/>
    <n v="4599"/>
    <x v="0"/>
  </r>
  <r>
    <s v="PO0011"/>
    <x v="9"/>
    <x v="0"/>
    <x v="9"/>
    <d v="2026-01-22T00:00:00"/>
    <n v="376"/>
    <n v="394"/>
    <n v="148144"/>
    <x v="1"/>
  </r>
  <r>
    <s v="PO0012"/>
    <x v="1"/>
    <x v="6"/>
    <x v="10"/>
    <d v="2026-04-26T00:00:00"/>
    <n v="171"/>
    <n v="131"/>
    <n v="22401"/>
    <x v="2"/>
  </r>
  <r>
    <s v="PO0013"/>
    <x v="10"/>
    <x v="5"/>
    <x v="11"/>
    <d v="2025-09-05T00:00:00"/>
    <n v="51"/>
    <n v="402"/>
    <n v="20502"/>
    <x v="1"/>
  </r>
  <r>
    <s v="PO0014"/>
    <x v="11"/>
    <x v="7"/>
    <x v="12"/>
    <d v="2026-04-03T00:00:00"/>
    <n v="264"/>
    <n v="277"/>
    <n v="73128"/>
    <x v="1"/>
  </r>
  <r>
    <s v="PO0015"/>
    <x v="12"/>
    <x v="2"/>
    <x v="13"/>
    <d v="2025-12-28T00:00:00"/>
    <n v="61"/>
    <n v="455"/>
    <n v="27755"/>
    <x v="2"/>
  </r>
  <r>
    <s v="PO0016"/>
    <x v="13"/>
    <x v="4"/>
    <x v="14"/>
    <d v="2026-05-26T00:00:00"/>
    <n v="365"/>
    <n v="461"/>
    <n v="168265"/>
    <x v="1"/>
  </r>
  <r>
    <s v="PO0017"/>
    <x v="0"/>
    <x v="6"/>
    <x v="15"/>
    <d v="2026-02-14T00:00:00"/>
    <n v="146"/>
    <n v="316"/>
    <n v="46136"/>
    <x v="1"/>
  </r>
  <r>
    <s v="PO0018"/>
    <x v="2"/>
    <x v="1"/>
    <x v="16"/>
    <d v="2025-12-19T00:00:00"/>
    <n v="356"/>
    <n v="318"/>
    <n v="113208"/>
    <x v="0"/>
  </r>
  <r>
    <s v="PO0019"/>
    <x v="14"/>
    <x v="3"/>
    <x v="17"/>
    <d v="2025-11-07T00:00:00"/>
    <n v="362"/>
    <n v="386"/>
    <n v="139732"/>
    <x v="0"/>
  </r>
  <r>
    <s v="PO0020"/>
    <x v="3"/>
    <x v="0"/>
    <x v="18"/>
    <d v="2026-01-20T00:00:00"/>
    <n v="87"/>
    <n v="363"/>
    <n v="31581"/>
    <x v="0"/>
  </r>
  <r>
    <s v="PO0021"/>
    <x v="6"/>
    <x v="0"/>
    <x v="19"/>
    <d v="2025-07-19T00:00:00"/>
    <n v="499"/>
    <n v="57"/>
    <n v="28443"/>
    <x v="2"/>
  </r>
  <r>
    <s v="PO0022"/>
    <x v="0"/>
    <x v="3"/>
    <x v="20"/>
    <d v="2026-02-16T00:00:00"/>
    <n v="71"/>
    <n v="57"/>
    <n v="4047"/>
    <x v="2"/>
  </r>
  <r>
    <s v="PO0023"/>
    <x v="15"/>
    <x v="2"/>
    <x v="21"/>
    <d v="2026-03-20T00:00:00"/>
    <n v="87"/>
    <n v="497"/>
    <n v="43239"/>
    <x v="1"/>
  </r>
  <r>
    <s v="PO0024"/>
    <x v="16"/>
    <x v="8"/>
    <x v="22"/>
    <d v="2025-11-26T00:00:00"/>
    <n v="165"/>
    <n v="100"/>
    <n v="16500"/>
    <x v="2"/>
  </r>
  <r>
    <s v="PO0025"/>
    <x v="17"/>
    <x v="5"/>
    <x v="23"/>
    <d v="2026-03-04T00:00:00"/>
    <n v="333"/>
    <n v="433"/>
    <n v="144189"/>
    <x v="2"/>
  </r>
  <r>
    <s v="PO0026"/>
    <x v="18"/>
    <x v="7"/>
    <x v="24"/>
    <d v="2026-04-30T00:00:00"/>
    <n v="173"/>
    <n v="497"/>
    <n v="85981"/>
    <x v="0"/>
  </r>
  <r>
    <s v="PO0027"/>
    <x v="19"/>
    <x v="7"/>
    <x v="25"/>
    <d v="2025-12-22T00:00:00"/>
    <n v="475"/>
    <n v="74"/>
    <n v="35150"/>
    <x v="0"/>
  </r>
  <r>
    <s v="PO0028"/>
    <x v="20"/>
    <x v="3"/>
    <x v="26"/>
    <d v="2025-09-17T00:00:00"/>
    <n v="329"/>
    <n v="127"/>
    <n v="41783"/>
    <x v="2"/>
  </r>
  <r>
    <s v="PO0029"/>
    <x v="21"/>
    <x v="0"/>
    <x v="27"/>
    <d v="2025-08-14T00:00:00"/>
    <n v="456"/>
    <n v="155"/>
    <n v="70680"/>
    <x v="0"/>
  </r>
  <r>
    <s v="PO0030"/>
    <x v="22"/>
    <x v="9"/>
    <x v="28"/>
    <d v="2025-11-06T00:00:00"/>
    <n v="67"/>
    <n v="344"/>
    <n v="23048"/>
    <x v="1"/>
  </r>
  <r>
    <s v="PO0031"/>
    <x v="23"/>
    <x v="9"/>
    <x v="29"/>
    <d v="2025-09-28T00:00:00"/>
    <n v="190"/>
    <n v="414"/>
    <n v="78660"/>
    <x v="1"/>
  </r>
  <r>
    <s v="PO0032"/>
    <x v="24"/>
    <x v="8"/>
    <x v="30"/>
    <d v="2026-02-23T00:00:00"/>
    <n v="246"/>
    <n v="302"/>
    <n v="74292"/>
    <x v="1"/>
  </r>
  <r>
    <s v="PO0033"/>
    <x v="19"/>
    <x v="8"/>
    <x v="31"/>
    <d v="2026-01-18T00:00:00"/>
    <n v="58"/>
    <n v="472"/>
    <n v="27376"/>
    <x v="1"/>
  </r>
  <r>
    <s v="PO0034"/>
    <x v="16"/>
    <x v="4"/>
    <x v="32"/>
    <d v="2025-10-01T00:00:00"/>
    <n v="318"/>
    <n v="302"/>
    <n v="96036"/>
    <x v="1"/>
  </r>
  <r>
    <s v="PO0035"/>
    <x v="25"/>
    <x v="1"/>
    <x v="33"/>
    <d v="2026-04-02T00:00:00"/>
    <n v="177"/>
    <n v="206"/>
    <n v="36462"/>
    <x v="1"/>
  </r>
  <r>
    <s v="PO0036"/>
    <x v="26"/>
    <x v="1"/>
    <x v="34"/>
    <d v="2026-01-15T00:00:00"/>
    <n v="147"/>
    <n v="361"/>
    <n v="53067"/>
    <x v="2"/>
  </r>
  <r>
    <s v="PO0037"/>
    <x v="2"/>
    <x v="3"/>
    <x v="35"/>
    <d v="2026-05-12T00:00:00"/>
    <n v="337"/>
    <n v="403"/>
    <n v="135811"/>
    <x v="1"/>
  </r>
  <r>
    <s v="PO0038"/>
    <x v="27"/>
    <x v="7"/>
    <x v="36"/>
    <d v="2025-10-27T00:00:00"/>
    <n v="471"/>
    <n v="231"/>
    <n v="108801"/>
    <x v="2"/>
  </r>
  <r>
    <s v="PO0039"/>
    <x v="28"/>
    <x v="3"/>
    <x v="37"/>
    <d v="2026-03-11T00:00:00"/>
    <n v="420"/>
    <n v="496"/>
    <n v="208320"/>
    <x v="0"/>
  </r>
  <r>
    <s v="PO0040"/>
    <x v="29"/>
    <x v="4"/>
    <x v="38"/>
    <d v="2026-01-30T00:00:00"/>
    <n v="423"/>
    <n v="379"/>
    <n v="160317"/>
    <x v="1"/>
  </r>
  <r>
    <s v="PO0041"/>
    <x v="7"/>
    <x v="1"/>
    <x v="39"/>
    <d v="2026-01-21T00:00:00"/>
    <n v="133"/>
    <n v="122"/>
    <n v="16226"/>
    <x v="0"/>
  </r>
  <r>
    <s v="PO0042"/>
    <x v="30"/>
    <x v="4"/>
    <x v="40"/>
    <d v="2026-05-30T00:00:00"/>
    <n v="134"/>
    <n v="32"/>
    <n v="4288"/>
    <x v="0"/>
  </r>
  <r>
    <s v="PO0043"/>
    <x v="4"/>
    <x v="1"/>
    <x v="41"/>
    <d v="2026-02-19T00:00:00"/>
    <n v="462"/>
    <n v="55"/>
    <n v="25410"/>
    <x v="2"/>
  </r>
  <r>
    <s v="PO0044"/>
    <x v="12"/>
    <x v="1"/>
    <x v="42"/>
    <d v="2026-04-23T00:00:00"/>
    <n v="224"/>
    <n v="367"/>
    <n v="82208"/>
    <x v="1"/>
  </r>
  <r>
    <s v="PO0045"/>
    <x v="19"/>
    <x v="6"/>
    <x v="43"/>
    <d v="2025-11-25T00:00:00"/>
    <n v="469"/>
    <n v="153"/>
    <n v="71757"/>
    <x v="0"/>
  </r>
  <r>
    <s v="PO0046"/>
    <x v="25"/>
    <x v="1"/>
    <x v="44"/>
    <d v="2026-02-05T00:00:00"/>
    <n v="75"/>
    <n v="325"/>
    <n v="24375"/>
    <x v="2"/>
  </r>
  <r>
    <s v="PO0047"/>
    <x v="31"/>
    <x v="2"/>
    <x v="45"/>
    <d v="2025-11-04T00:00:00"/>
    <n v="243"/>
    <n v="330"/>
    <n v="80190"/>
    <x v="0"/>
  </r>
  <r>
    <s v="PO0048"/>
    <x v="0"/>
    <x v="4"/>
    <x v="46"/>
    <d v="2026-07-05T00:00:00"/>
    <n v="117"/>
    <n v="150"/>
    <n v="17550"/>
    <x v="1"/>
  </r>
  <r>
    <s v="PO0049"/>
    <x v="32"/>
    <x v="3"/>
    <x v="47"/>
    <d v="2026-02-05T00:00:00"/>
    <n v="493"/>
    <n v="432"/>
    <n v="212976"/>
    <x v="0"/>
  </r>
  <r>
    <s v="PO0050"/>
    <x v="9"/>
    <x v="6"/>
    <x v="48"/>
    <d v="2025-09-10T00:00:00"/>
    <n v="55"/>
    <n v="360"/>
    <n v="19800"/>
    <x v="0"/>
  </r>
  <r>
    <s v="PO0051"/>
    <x v="33"/>
    <x v="8"/>
    <x v="49"/>
    <d v="2025-12-21T00:00:00"/>
    <n v="454"/>
    <n v="83"/>
    <n v="37682"/>
    <x v="0"/>
  </r>
  <r>
    <s v="PO0052"/>
    <x v="33"/>
    <x v="9"/>
    <x v="50"/>
    <d v="2025-08-30T00:00:00"/>
    <n v="229"/>
    <n v="187"/>
    <n v="42823"/>
    <x v="2"/>
  </r>
  <r>
    <s v="PO0053"/>
    <x v="34"/>
    <x v="7"/>
    <x v="32"/>
    <d v="2025-10-09T00:00:00"/>
    <n v="118"/>
    <n v="235"/>
    <n v="27730"/>
    <x v="2"/>
  </r>
  <r>
    <s v="PO0054"/>
    <x v="0"/>
    <x v="5"/>
    <x v="51"/>
    <d v="2026-05-20T00:00:00"/>
    <n v="174"/>
    <n v="227"/>
    <n v="39498"/>
    <x v="0"/>
  </r>
  <r>
    <s v="PO0055"/>
    <x v="20"/>
    <x v="0"/>
    <x v="52"/>
    <d v="2026-07-01T00:00:00"/>
    <n v="127"/>
    <n v="240"/>
    <n v="30480"/>
    <x v="0"/>
  </r>
  <r>
    <s v="PO0056"/>
    <x v="35"/>
    <x v="0"/>
    <x v="53"/>
    <d v="2026-06-22T00:00:00"/>
    <n v="365"/>
    <n v="129"/>
    <n v="47085"/>
    <x v="2"/>
  </r>
  <r>
    <s v="PO0057"/>
    <x v="29"/>
    <x v="8"/>
    <x v="54"/>
    <d v="2025-10-01T00:00:00"/>
    <n v="357"/>
    <n v="63"/>
    <n v="22491"/>
    <x v="2"/>
  </r>
  <r>
    <s v="PO0058"/>
    <x v="21"/>
    <x v="3"/>
    <x v="55"/>
    <d v="2025-11-05T00:00:00"/>
    <n v="337"/>
    <n v="191"/>
    <n v="64367"/>
    <x v="2"/>
  </r>
  <r>
    <s v="PO0059"/>
    <x v="17"/>
    <x v="7"/>
    <x v="56"/>
    <d v="2025-11-20T00:00:00"/>
    <n v="135"/>
    <n v="432"/>
    <n v="58320"/>
    <x v="1"/>
  </r>
  <r>
    <s v="PO0060"/>
    <x v="25"/>
    <x v="0"/>
    <x v="57"/>
    <d v="2026-02-10T00:00:00"/>
    <n v="145"/>
    <n v="263"/>
    <n v="38135"/>
    <x v="0"/>
  </r>
  <r>
    <s v="PO0061"/>
    <x v="21"/>
    <x v="0"/>
    <x v="58"/>
    <d v="2025-12-06T00:00:00"/>
    <n v="314"/>
    <n v="119"/>
    <n v="37366"/>
    <x v="0"/>
  </r>
  <r>
    <s v="PO0062"/>
    <x v="36"/>
    <x v="2"/>
    <x v="59"/>
    <d v="2025-07-30T00:00:00"/>
    <n v="95"/>
    <n v="355"/>
    <n v="33725"/>
    <x v="0"/>
  </r>
  <r>
    <s v="PO0063"/>
    <x v="30"/>
    <x v="0"/>
    <x v="60"/>
    <d v="2026-05-27T00:00:00"/>
    <n v="110"/>
    <n v="431"/>
    <n v="47410"/>
    <x v="1"/>
  </r>
  <r>
    <s v="PO0064"/>
    <x v="18"/>
    <x v="0"/>
    <x v="61"/>
    <d v="2026-05-10T00:00:00"/>
    <n v="147"/>
    <n v="489"/>
    <n v="71883"/>
    <x v="1"/>
  </r>
  <r>
    <s v="PO0065"/>
    <x v="37"/>
    <x v="6"/>
    <x v="60"/>
    <d v="2026-05-28T00:00:00"/>
    <n v="361"/>
    <n v="291"/>
    <n v="105051"/>
    <x v="0"/>
  </r>
  <r>
    <s v="PO0066"/>
    <x v="6"/>
    <x v="4"/>
    <x v="62"/>
    <d v="2026-01-29T00:00:00"/>
    <n v="476"/>
    <n v="246"/>
    <n v="117096"/>
    <x v="2"/>
  </r>
  <r>
    <s v="PO0067"/>
    <x v="35"/>
    <x v="0"/>
    <x v="63"/>
    <d v="2025-08-06T00:00:00"/>
    <n v="479"/>
    <n v="101"/>
    <n v="48379"/>
    <x v="0"/>
  </r>
  <r>
    <s v="PO0068"/>
    <x v="6"/>
    <x v="8"/>
    <x v="64"/>
    <d v="2025-09-25T00:00:00"/>
    <n v="146"/>
    <n v="450"/>
    <n v="65700"/>
    <x v="0"/>
  </r>
  <r>
    <s v="PO0069"/>
    <x v="21"/>
    <x v="2"/>
    <x v="65"/>
    <d v="2025-08-09T00:00:00"/>
    <n v="142"/>
    <n v="160"/>
    <n v="22720"/>
    <x v="2"/>
  </r>
  <r>
    <s v="PO0070"/>
    <x v="20"/>
    <x v="1"/>
    <x v="66"/>
    <d v="2025-12-31T00:00:00"/>
    <n v="140"/>
    <n v="159"/>
    <n v="22260"/>
    <x v="2"/>
  </r>
  <r>
    <s v="PO0071"/>
    <x v="38"/>
    <x v="4"/>
    <x v="67"/>
    <d v="2026-06-21T00:00:00"/>
    <n v="90"/>
    <n v="97"/>
    <n v="8730"/>
    <x v="2"/>
  </r>
  <r>
    <s v="PO0072"/>
    <x v="39"/>
    <x v="4"/>
    <x v="68"/>
    <d v="2025-11-30T00:00:00"/>
    <n v="381"/>
    <n v="129"/>
    <n v="49149"/>
    <x v="0"/>
  </r>
  <r>
    <s v="PO0073"/>
    <x v="28"/>
    <x v="5"/>
    <x v="69"/>
    <d v="2026-03-20T00:00:00"/>
    <n v="297"/>
    <n v="258"/>
    <n v="76626"/>
    <x v="1"/>
  </r>
  <r>
    <s v="PO0074"/>
    <x v="2"/>
    <x v="6"/>
    <x v="70"/>
    <d v="2026-06-30T00:00:00"/>
    <n v="219"/>
    <n v="483"/>
    <n v="105777"/>
    <x v="0"/>
  </r>
  <r>
    <s v="PO0075"/>
    <x v="7"/>
    <x v="4"/>
    <x v="71"/>
    <d v="2026-06-29T00:00:00"/>
    <n v="23"/>
    <n v="200"/>
    <n v="4600"/>
    <x v="0"/>
  </r>
  <r>
    <s v="PO0076"/>
    <x v="10"/>
    <x v="6"/>
    <x v="10"/>
    <d v="2026-05-12T00:00:00"/>
    <n v="402"/>
    <n v="396"/>
    <n v="159192"/>
    <x v="1"/>
  </r>
  <r>
    <s v="PO0077"/>
    <x v="40"/>
    <x v="0"/>
    <x v="72"/>
    <d v="2025-10-11T00:00:00"/>
    <n v="132"/>
    <n v="159"/>
    <n v="20988"/>
    <x v="1"/>
  </r>
  <r>
    <s v="PO0078"/>
    <x v="8"/>
    <x v="7"/>
    <x v="21"/>
    <d v="2026-03-21T00:00:00"/>
    <n v="192"/>
    <n v="362"/>
    <n v="69504"/>
    <x v="0"/>
  </r>
  <r>
    <s v="PO0079"/>
    <x v="34"/>
    <x v="4"/>
    <x v="73"/>
    <d v="2025-11-29T00:00:00"/>
    <n v="338"/>
    <n v="293"/>
    <n v="99034"/>
    <x v="2"/>
  </r>
  <r>
    <s v="PO0080"/>
    <x v="0"/>
    <x v="4"/>
    <x v="74"/>
    <d v="2025-08-18T00:00:00"/>
    <n v="359"/>
    <n v="33"/>
    <n v="11847"/>
    <x v="1"/>
  </r>
  <r>
    <s v="PO0081"/>
    <x v="37"/>
    <x v="4"/>
    <x v="75"/>
    <d v="2026-01-17T00:00:00"/>
    <n v="113"/>
    <n v="45"/>
    <n v="5085"/>
    <x v="0"/>
  </r>
  <r>
    <s v="PO0082"/>
    <x v="14"/>
    <x v="4"/>
    <x v="40"/>
    <d v="2026-06-03T00:00:00"/>
    <n v="252"/>
    <n v="187"/>
    <n v="47124"/>
    <x v="0"/>
  </r>
  <r>
    <s v="PO0083"/>
    <x v="6"/>
    <x v="2"/>
    <x v="76"/>
    <d v="2026-05-17T00:00:00"/>
    <n v="445"/>
    <n v="235"/>
    <n v="104575"/>
    <x v="0"/>
  </r>
  <r>
    <s v="PO0084"/>
    <x v="41"/>
    <x v="1"/>
    <x v="77"/>
    <d v="2026-05-02T00:00:00"/>
    <n v="403"/>
    <n v="296"/>
    <n v="119288"/>
    <x v="1"/>
  </r>
  <r>
    <s v="PO0085"/>
    <x v="42"/>
    <x v="5"/>
    <x v="78"/>
    <d v="2026-02-16T00:00:00"/>
    <n v="55"/>
    <n v="419"/>
    <n v="23045"/>
    <x v="1"/>
  </r>
  <r>
    <s v="PO0086"/>
    <x v="1"/>
    <x v="3"/>
    <x v="79"/>
    <d v="2026-06-09T00:00:00"/>
    <n v="449"/>
    <n v="30"/>
    <n v="13470"/>
    <x v="1"/>
  </r>
  <r>
    <s v="PO0087"/>
    <x v="7"/>
    <x v="0"/>
    <x v="80"/>
    <d v="2026-02-11T00:00:00"/>
    <n v="362"/>
    <n v="78"/>
    <n v="28236"/>
    <x v="2"/>
  </r>
  <r>
    <s v="PO0088"/>
    <x v="15"/>
    <x v="6"/>
    <x v="81"/>
    <d v="2025-10-04T00:00:00"/>
    <n v="412"/>
    <n v="208"/>
    <n v="85696"/>
    <x v="2"/>
  </r>
  <r>
    <s v="PO0089"/>
    <x v="24"/>
    <x v="9"/>
    <x v="82"/>
    <d v="2026-02-14T00:00:00"/>
    <n v="387"/>
    <n v="78"/>
    <n v="30186"/>
    <x v="1"/>
  </r>
  <r>
    <s v="PO0090"/>
    <x v="11"/>
    <x v="6"/>
    <x v="25"/>
    <d v="2025-12-14T00:00:00"/>
    <n v="33"/>
    <n v="495"/>
    <n v="16335"/>
    <x v="2"/>
  </r>
  <r>
    <s v="PO0091"/>
    <x v="8"/>
    <x v="2"/>
    <x v="83"/>
    <d v="2025-07-24T00:00:00"/>
    <n v="223"/>
    <n v="386"/>
    <n v="86078"/>
    <x v="2"/>
  </r>
  <r>
    <s v="PO0092"/>
    <x v="43"/>
    <x v="2"/>
    <x v="84"/>
    <d v="2026-05-01T00:00:00"/>
    <n v="445"/>
    <n v="341"/>
    <n v="151745"/>
    <x v="2"/>
  </r>
  <r>
    <s v="PO0093"/>
    <x v="44"/>
    <x v="6"/>
    <x v="85"/>
    <d v="2026-02-01T00:00:00"/>
    <n v="174"/>
    <n v="455"/>
    <n v="79170"/>
    <x v="1"/>
  </r>
  <r>
    <s v="PO0094"/>
    <x v="45"/>
    <x v="2"/>
    <x v="86"/>
    <d v="2025-12-26T00:00:00"/>
    <n v="292"/>
    <n v="239"/>
    <n v="69788"/>
    <x v="2"/>
  </r>
  <r>
    <s v="PO0095"/>
    <x v="42"/>
    <x v="0"/>
    <x v="44"/>
    <d v="2026-02-05T00:00:00"/>
    <n v="194"/>
    <n v="26"/>
    <n v="5044"/>
    <x v="1"/>
  </r>
  <r>
    <s v="PO0096"/>
    <x v="9"/>
    <x v="7"/>
    <x v="87"/>
    <d v="2025-10-02T00:00:00"/>
    <n v="205"/>
    <n v="345"/>
    <n v="70725"/>
    <x v="0"/>
  </r>
  <r>
    <s v="PO0097"/>
    <x v="27"/>
    <x v="6"/>
    <x v="88"/>
    <d v="2026-06-12T00:00:00"/>
    <n v="395"/>
    <n v="287"/>
    <n v="113365"/>
    <x v="2"/>
  </r>
  <r>
    <s v="PO0098"/>
    <x v="44"/>
    <x v="6"/>
    <x v="89"/>
    <d v="2026-06-25T00:00:00"/>
    <n v="267"/>
    <n v="258"/>
    <n v="68886"/>
    <x v="0"/>
  </r>
  <r>
    <s v="PO0099"/>
    <x v="31"/>
    <x v="9"/>
    <x v="90"/>
    <d v="2025-08-14T00:00:00"/>
    <n v="456"/>
    <n v="145"/>
    <n v="66120"/>
    <x v="0"/>
  </r>
  <r>
    <s v="PO0100"/>
    <x v="36"/>
    <x v="1"/>
    <x v="42"/>
    <d v="2026-04-18T00:00:00"/>
    <n v="404"/>
    <n v="257"/>
    <n v="103828"/>
    <x v="1"/>
  </r>
  <r>
    <s v="PO0101"/>
    <x v="40"/>
    <x v="0"/>
    <x v="0"/>
    <d v="2026-06-05T00:00:00"/>
    <n v="455"/>
    <n v="186"/>
    <n v="84630"/>
    <x v="1"/>
  </r>
  <r>
    <s v="PO0102"/>
    <x v="45"/>
    <x v="9"/>
    <x v="91"/>
    <d v="2026-06-19T00:00:00"/>
    <n v="428"/>
    <n v="152"/>
    <n v="65056"/>
    <x v="2"/>
  </r>
  <r>
    <s v="PO0103"/>
    <x v="43"/>
    <x v="5"/>
    <x v="92"/>
    <d v="2025-10-01T00:00:00"/>
    <n v="470"/>
    <n v="161"/>
    <n v="75670"/>
    <x v="2"/>
  </r>
  <r>
    <s v="PO0104"/>
    <x v="1"/>
    <x v="0"/>
    <x v="35"/>
    <d v="2026-05-21T00:00:00"/>
    <n v="63"/>
    <n v="143"/>
    <n v="9009"/>
    <x v="2"/>
  </r>
  <r>
    <s v="PO0105"/>
    <x v="6"/>
    <x v="0"/>
    <x v="93"/>
    <d v="2025-07-27T00:00:00"/>
    <n v="143"/>
    <n v="373"/>
    <n v="53339"/>
    <x v="0"/>
  </r>
  <r>
    <s v="PO0106"/>
    <x v="41"/>
    <x v="4"/>
    <x v="15"/>
    <d v="2026-02-20T00:00:00"/>
    <n v="67"/>
    <n v="170"/>
    <n v="11390"/>
    <x v="2"/>
  </r>
  <r>
    <s v="PO0107"/>
    <x v="36"/>
    <x v="0"/>
    <x v="94"/>
    <d v="2025-11-20T00:00:00"/>
    <n v="176"/>
    <n v="359"/>
    <n v="63184"/>
    <x v="2"/>
  </r>
  <r>
    <s v="PO0108"/>
    <x v="32"/>
    <x v="1"/>
    <x v="88"/>
    <d v="2026-06-21T00:00:00"/>
    <n v="196"/>
    <n v="237"/>
    <n v="46452"/>
    <x v="0"/>
  </r>
  <r>
    <s v="PO0109"/>
    <x v="43"/>
    <x v="9"/>
    <x v="95"/>
    <d v="2025-09-14T00:00:00"/>
    <n v="252"/>
    <n v="158"/>
    <n v="39816"/>
    <x v="1"/>
  </r>
  <r>
    <s v="PO0110"/>
    <x v="19"/>
    <x v="2"/>
    <x v="9"/>
    <d v="2026-01-15T00:00:00"/>
    <n v="389"/>
    <n v="118"/>
    <n v="45902"/>
    <x v="2"/>
  </r>
  <r>
    <s v="PO0111"/>
    <x v="10"/>
    <x v="3"/>
    <x v="37"/>
    <d v="2026-03-03T00:00:00"/>
    <n v="410"/>
    <n v="373"/>
    <n v="152930"/>
    <x v="1"/>
  </r>
  <r>
    <s v="PO0112"/>
    <x v="24"/>
    <x v="6"/>
    <x v="96"/>
    <d v="2026-02-20T00:00:00"/>
    <n v="267"/>
    <n v="161"/>
    <n v="42987"/>
    <x v="0"/>
  </r>
  <r>
    <s v="PO0113"/>
    <x v="5"/>
    <x v="3"/>
    <x v="97"/>
    <d v="2025-07-13T00:00:00"/>
    <n v="446"/>
    <n v="119"/>
    <n v="53074"/>
    <x v="0"/>
  </r>
  <r>
    <s v="PO0114"/>
    <x v="27"/>
    <x v="7"/>
    <x v="98"/>
    <d v="2025-08-14T00:00:00"/>
    <n v="174"/>
    <n v="27"/>
    <n v="4698"/>
    <x v="0"/>
  </r>
  <r>
    <s v="PO0115"/>
    <x v="25"/>
    <x v="7"/>
    <x v="99"/>
    <d v="2026-05-11T00:00:00"/>
    <n v="47"/>
    <n v="303"/>
    <n v="14241"/>
    <x v="2"/>
  </r>
  <r>
    <s v="PO0116"/>
    <x v="6"/>
    <x v="6"/>
    <x v="100"/>
    <d v="2026-02-25T00:00:00"/>
    <n v="271"/>
    <n v="72"/>
    <n v="19512"/>
    <x v="0"/>
  </r>
  <r>
    <s v="PO0117"/>
    <x v="7"/>
    <x v="7"/>
    <x v="27"/>
    <d v="2025-08-08T00:00:00"/>
    <n v="265"/>
    <n v="245"/>
    <n v="64925"/>
    <x v="1"/>
  </r>
  <r>
    <s v="PO0118"/>
    <x v="15"/>
    <x v="2"/>
    <x v="40"/>
    <d v="2026-05-27T00:00:00"/>
    <n v="461"/>
    <n v="264"/>
    <n v="121704"/>
    <x v="0"/>
  </r>
  <r>
    <s v="PO0119"/>
    <x v="40"/>
    <x v="7"/>
    <x v="101"/>
    <d v="2025-07-16T00:00:00"/>
    <n v="57"/>
    <n v="315"/>
    <n v="17955"/>
    <x v="1"/>
  </r>
  <r>
    <s v="PO0120"/>
    <x v="0"/>
    <x v="2"/>
    <x v="102"/>
    <d v="2026-04-25T00:00:00"/>
    <n v="175"/>
    <n v="63"/>
    <n v="11025"/>
    <x v="2"/>
  </r>
  <r>
    <s v="PO0121"/>
    <x v="6"/>
    <x v="8"/>
    <x v="6"/>
    <d v="2025-11-07T00:00:00"/>
    <n v="233"/>
    <n v="330"/>
    <n v="76890"/>
    <x v="0"/>
  </r>
  <r>
    <s v="PO0122"/>
    <x v="35"/>
    <x v="6"/>
    <x v="103"/>
    <d v="2025-10-17T00:00:00"/>
    <n v="485"/>
    <n v="246"/>
    <n v="119310"/>
    <x v="0"/>
  </r>
  <r>
    <s v="PO0123"/>
    <x v="17"/>
    <x v="6"/>
    <x v="104"/>
    <d v="2025-08-06T00:00:00"/>
    <n v="311"/>
    <n v="337"/>
    <n v="104807"/>
    <x v="2"/>
  </r>
  <r>
    <s v="PO0124"/>
    <x v="5"/>
    <x v="9"/>
    <x v="105"/>
    <d v="2026-06-07T00:00:00"/>
    <n v="410"/>
    <n v="126"/>
    <n v="51660"/>
    <x v="2"/>
  </r>
  <r>
    <s v="PO0125"/>
    <x v="38"/>
    <x v="8"/>
    <x v="106"/>
    <d v="2026-04-21T00:00:00"/>
    <n v="100"/>
    <n v="142"/>
    <n v="14200"/>
    <x v="1"/>
  </r>
  <r>
    <s v="PO0126"/>
    <x v="29"/>
    <x v="6"/>
    <x v="107"/>
    <d v="2025-09-30T00:00:00"/>
    <n v="21"/>
    <n v="229"/>
    <n v="4809"/>
    <x v="0"/>
  </r>
  <r>
    <s v="PO0127"/>
    <x v="20"/>
    <x v="9"/>
    <x v="27"/>
    <d v="2025-08-07T00:00:00"/>
    <n v="36"/>
    <n v="138"/>
    <n v="4968"/>
    <x v="2"/>
  </r>
  <r>
    <s v="PO0128"/>
    <x v="37"/>
    <x v="9"/>
    <x v="99"/>
    <d v="2026-05-09T00:00:00"/>
    <n v="56"/>
    <n v="371"/>
    <n v="20776"/>
    <x v="2"/>
  </r>
  <r>
    <s v="PO0129"/>
    <x v="11"/>
    <x v="4"/>
    <x v="108"/>
    <d v="2025-12-01T00:00:00"/>
    <n v="358"/>
    <n v="431"/>
    <n v="154298"/>
    <x v="1"/>
  </r>
  <r>
    <s v="PO0130"/>
    <x v="10"/>
    <x v="9"/>
    <x v="109"/>
    <d v="2026-05-09T00:00:00"/>
    <n v="135"/>
    <n v="351"/>
    <n v="47385"/>
    <x v="1"/>
  </r>
  <r>
    <s v="PO0131"/>
    <x v="13"/>
    <x v="6"/>
    <x v="110"/>
    <d v="2025-09-03T00:00:00"/>
    <n v="50"/>
    <n v="104"/>
    <n v="5200"/>
    <x v="2"/>
  </r>
  <r>
    <s v="PO0132"/>
    <x v="0"/>
    <x v="2"/>
    <x v="111"/>
    <d v="2025-11-06T00:00:00"/>
    <n v="491"/>
    <n v="167"/>
    <n v="81997"/>
    <x v="0"/>
  </r>
  <r>
    <s v="PO0133"/>
    <x v="43"/>
    <x v="9"/>
    <x v="0"/>
    <d v="2026-06-12T00:00:00"/>
    <n v="175"/>
    <n v="378"/>
    <n v="66150"/>
    <x v="2"/>
  </r>
  <r>
    <s v="PO0134"/>
    <x v="10"/>
    <x v="6"/>
    <x v="112"/>
    <d v="2025-08-04T00:00:00"/>
    <n v="272"/>
    <n v="244"/>
    <n v="66368"/>
    <x v="1"/>
  </r>
  <r>
    <s v="PO0135"/>
    <x v="9"/>
    <x v="5"/>
    <x v="9"/>
    <d v="2026-01-13T00:00:00"/>
    <n v="396"/>
    <n v="185"/>
    <n v="73260"/>
    <x v="1"/>
  </r>
  <r>
    <s v="PO0136"/>
    <x v="30"/>
    <x v="9"/>
    <x v="113"/>
    <d v="2026-01-26T00:00:00"/>
    <n v="365"/>
    <n v="448"/>
    <n v="163520"/>
    <x v="2"/>
  </r>
  <r>
    <s v="PO0137"/>
    <x v="25"/>
    <x v="0"/>
    <x v="114"/>
    <d v="2025-07-28T00:00:00"/>
    <n v="410"/>
    <n v="407"/>
    <n v="166870"/>
    <x v="2"/>
  </r>
  <r>
    <s v="PO0138"/>
    <x v="42"/>
    <x v="7"/>
    <x v="71"/>
    <d v="2026-06-28T00:00:00"/>
    <n v="246"/>
    <n v="489"/>
    <n v="120294"/>
    <x v="2"/>
  </r>
  <r>
    <s v="PO0139"/>
    <x v="9"/>
    <x v="2"/>
    <x v="115"/>
    <d v="2025-11-21T00:00:00"/>
    <n v="345"/>
    <n v="436"/>
    <n v="150420"/>
    <x v="0"/>
  </r>
  <r>
    <s v="PO0140"/>
    <x v="45"/>
    <x v="2"/>
    <x v="116"/>
    <d v="2026-07-08T00:00:00"/>
    <n v="229"/>
    <n v="190"/>
    <n v="43510"/>
    <x v="1"/>
  </r>
  <r>
    <s v="PO0141"/>
    <x v="28"/>
    <x v="9"/>
    <x v="69"/>
    <d v="2026-03-22T00:00:00"/>
    <n v="230"/>
    <n v="375"/>
    <n v="86250"/>
    <x v="2"/>
  </r>
  <r>
    <s v="PO0142"/>
    <x v="3"/>
    <x v="5"/>
    <x v="117"/>
    <d v="2026-01-23T00:00:00"/>
    <n v="436"/>
    <n v="409"/>
    <n v="178324"/>
    <x v="0"/>
  </r>
  <r>
    <s v="PO0143"/>
    <x v="38"/>
    <x v="2"/>
    <x v="118"/>
    <d v="2026-07-07T00:00:00"/>
    <n v="181"/>
    <n v="149"/>
    <n v="26969"/>
    <x v="0"/>
  </r>
  <r>
    <s v="PO0144"/>
    <x v="12"/>
    <x v="0"/>
    <x v="116"/>
    <d v="2026-07-15T00:00:00"/>
    <n v="442"/>
    <n v="20"/>
    <n v="8840"/>
    <x v="0"/>
  </r>
  <r>
    <s v="PO0145"/>
    <x v="22"/>
    <x v="6"/>
    <x v="119"/>
    <d v="2025-12-12T00:00:00"/>
    <n v="116"/>
    <n v="285"/>
    <n v="33060"/>
    <x v="0"/>
  </r>
  <r>
    <s v="PO0146"/>
    <x v="21"/>
    <x v="3"/>
    <x v="108"/>
    <d v="2025-11-26T00:00:00"/>
    <n v="246"/>
    <n v="409"/>
    <n v="100614"/>
    <x v="0"/>
  </r>
  <r>
    <s v="PO0147"/>
    <x v="18"/>
    <x v="0"/>
    <x v="120"/>
    <d v="2025-07-17T00:00:00"/>
    <n v="87"/>
    <n v="494"/>
    <n v="42978"/>
    <x v="2"/>
  </r>
  <r>
    <s v="PO0148"/>
    <x v="40"/>
    <x v="7"/>
    <x v="121"/>
    <d v="2026-06-09T00:00:00"/>
    <n v="82"/>
    <n v="34"/>
    <n v="2788"/>
    <x v="0"/>
  </r>
  <r>
    <s v="PO0149"/>
    <x v="18"/>
    <x v="2"/>
    <x v="122"/>
    <d v="2026-02-10T00:00:00"/>
    <n v="27"/>
    <n v="302"/>
    <n v="8154"/>
    <x v="1"/>
  </r>
  <r>
    <s v="PO0150"/>
    <x v="19"/>
    <x v="0"/>
    <x v="123"/>
    <d v="2026-02-04T00:00:00"/>
    <n v="256"/>
    <n v="80"/>
    <n v="20480"/>
    <x v="2"/>
  </r>
  <r>
    <s v="PO0151"/>
    <x v="20"/>
    <x v="4"/>
    <x v="62"/>
    <d v="2026-01-21T00:00:00"/>
    <n v="280"/>
    <n v="381"/>
    <n v="106680"/>
    <x v="0"/>
  </r>
  <r>
    <s v="PO0152"/>
    <x v="7"/>
    <x v="7"/>
    <x v="124"/>
    <d v="2025-09-09T00:00:00"/>
    <n v="144"/>
    <n v="253"/>
    <n v="36432"/>
    <x v="0"/>
  </r>
  <r>
    <s v="PO0153"/>
    <x v="1"/>
    <x v="7"/>
    <x v="124"/>
    <d v="2025-09-08T00:00:00"/>
    <n v="491"/>
    <n v="326"/>
    <n v="160066"/>
    <x v="1"/>
  </r>
  <r>
    <s v="PO0154"/>
    <x v="4"/>
    <x v="1"/>
    <x v="125"/>
    <d v="2026-07-02T00:00:00"/>
    <n v="415"/>
    <n v="424"/>
    <n v="175960"/>
    <x v="2"/>
  </r>
  <r>
    <s v="PO0155"/>
    <x v="4"/>
    <x v="9"/>
    <x v="126"/>
    <d v="2026-01-19T00:00:00"/>
    <n v="440"/>
    <n v="21"/>
    <n v="9240"/>
    <x v="2"/>
  </r>
  <r>
    <s v="PO0156"/>
    <x v="11"/>
    <x v="0"/>
    <x v="109"/>
    <d v="2026-05-09T00:00:00"/>
    <n v="357"/>
    <n v="270"/>
    <n v="96390"/>
    <x v="2"/>
  </r>
  <r>
    <s v="PO0157"/>
    <x v="7"/>
    <x v="8"/>
    <x v="127"/>
    <d v="2026-02-01T00:00:00"/>
    <n v="196"/>
    <n v="190"/>
    <n v="37240"/>
    <x v="0"/>
  </r>
  <r>
    <s v="PO0158"/>
    <x v="37"/>
    <x v="3"/>
    <x v="128"/>
    <d v="2025-11-27T00:00:00"/>
    <n v="497"/>
    <n v="184"/>
    <n v="91448"/>
    <x v="2"/>
  </r>
  <r>
    <s v="PO0159"/>
    <x v="8"/>
    <x v="5"/>
    <x v="64"/>
    <d v="2025-09-30T00:00:00"/>
    <n v="139"/>
    <n v="458"/>
    <n v="63662"/>
    <x v="0"/>
  </r>
  <r>
    <s v="PO0160"/>
    <x v="24"/>
    <x v="4"/>
    <x v="113"/>
    <d v="2026-02-07T00:00:00"/>
    <n v="262"/>
    <n v="381"/>
    <n v="99822"/>
    <x v="2"/>
  </r>
  <r>
    <s v="PO0161"/>
    <x v="42"/>
    <x v="7"/>
    <x v="129"/>
    <d v="2025-09-05T00:00:00"/>
    <n v="97"/>
    <n v="273"/>
    <n v="26481"/>
    <x v="2"/>
  </r>
  <r>
    <s v="PO0162"/>
    <x v="11"/>
    <x v="0"/>
    <x v="130"/>
    <d v="2025-07-19T00:00:00"/>
    <n v="189"/>
    <n v="465"/>
    <n v="87885"/>
    <x v="1"/>
  </r>
  <r>
    <s v="PO0163"/>
    <x v="32"/>
    <x v="7"/>
    <x v="81"/>
    <d v="2025-09-29T00:00:00"/>
    <n v="486"/>
    <n v="253"/>
    <n v="122958"/>
    <x v="0"/>
  </r>
  <r>
    <s v="PO0164"/>
    <x v="42"/>
    <x v="9"/>
    <x v="131"/>
    <d v="2026-01-15T00:00:00"/>
    <n v="99"/>
    <n v="58"/>
    <n v="5742"/>
    <x v="0"/>
  </r>
  <r>
    <s v="PO0165"/>
    <x v="46"/>
    <x v="1"/>
    <x v="132"/>
    <d v="2025-12-21T00:00:00"/>
    <n v="374"/>
    <n v="223"/>
    <n v="83402"/>
    <x v="2"/>
  </r>
  <r>
    <s v="PO0166"/>
    <x v="10"/>
    <x v="8"/>
    <x v="133"/>
    <d v="2025-11-13T00:00:00"/>
    <n v="214"/>
    <n v="182"/>
    <n v="38948"/>
    <x v="1"/>
  </r>
  <r>
    <s v="PO0167"/>
    <x v="46"/>
    <x v="3"/>
    <x v="134"/>
    <d v="2026-03-09T00:00:00"/>
    <n v="55"/>
    <n v="140"/>
    <n v="7700"/>
    <x v="2"/>
  </r>
  <r>
    <s v="PO0168"/>
    <x v="38"/>
    <x v="0"/>
    <x v="16"/>
    <d v="2025-12-06T00:00:00"/>
    <n v="242"/>
    <n v="70"/>
    <n v="16940"/>
    <x v="1"/>
  </r>
  <r>
    <s v="PO0169"/>
    <x v="43"/>
    <x v="5"/>
    <x v="19"/>
    <d v="2025-07-19T00:00:00"/>
    <n v="173"/>
    <n v="482"/>
    <n v="83386"/>
    <x v="0"/>
  </r>
  <r>
    <s v="PO0170"/>
    <x v="22"/>
    <x v="4"/>
    <x v="135"/>
    <d v="2026-02-02T00:00:00"/>
    <n v="170"/>
    <n v="203"/>
    <n v="34510"/>
    <x v="1"/>
  </r>
  <r>
    <s v="PO0171"/>
    <x v="36"/>
    <x v="7"/>
    <x v="91"/>
    <d v="2026-06-14T00:00:00"/>
    <n v="291"/>
    <n v="230"/>
    <n v="66930"/>
    <x v="1"/>
  </r>
  <r>
    <s v="PO0172"/>
    <x v="38"/>
    <x v="6"/>
    <x v="136"/>
    <d v="2025-09-15T00:00:00"/>
    <n v="332"/>
    <n v="465"/>
    <n v="154380"/>
    <x v="2"/>
  </r>
  <r>
    <s v="PO0173"/>
    <x v="36"/>
    <x v="3"/>
    <x v="121"/>
    <d v="2026-06-06T00:00:00"/>
    <n v="274"/>
    <n v="487"/>
    <n v="133438"/>
    <x v="0"/>
  </r>
  <r>
    <s v="PO0174"/>
    <x v="21"/>
    <x v="5"/>
    <x v="27"/>
    <d v="2025-08-06T00:00:00"/>
    <n v="150"/>
    <n v="255"/>
    <n v="38250"/>
    <x v="0"/>
  </r>
  <r>
    <s v="PO0175"/>
    <x v="20"/>
    <x v="2"/>
    <x v="137"/>
    <d v="2025-07-22T00:00:00"/>
    <n v="366"/>
    <n v="299"/>
    <n v="109434"/>
    <x v="0"/>
  </r>
  <r>
    <s v="PO0176"/>
    <x v="45"/>
    <x v="9"/>
    <x v="126"/>
    <d v="2026-01-23T00:00:00"/>
    <n v="320"/>
    <n v="173"/>
    <n v="55360"/>
    <x v="0"/>
  </r>
  <r>
    <s v="PO0177"/>
    <x v="17"/>
    <x v="2"/>
    <x v="47"/>
    <d v="2026-02-03T00:00:00"/>
    <n v="121"/>
    <n v="216"/>
    <n v="26136"/>
    <x v="1"/>
  </r>
  <r>
    <s v="PO0178"/>
    <x v="8"/>
    <x v="9"/>
    <x v="23"/>
    <d v="2026-02-25T00:00:00"/>
    <n v="312"/>
    <n v="203"/>
    <n v="63336"/>
    <x v="1"/>
  </r>
  <r>
    <s v="PO0179"/>
    <x v="33"/>
    <x v="6"/>
    <x v="138"/>
    <d v="2025-12-14T00:00:00"/>
    <n v="222"/>
    <n v="160"/>
    <n v="35520"/>
    <x v="2"/>
  </r>
  <r>
    <s v="PO0180"/>
    <x v="44"/>
    <x v="9"/>
    <x v="27"/>
    <d v="2025-08-13T00:00:00"/>
    <n v="401"/>
    <n v="45"/>
    <n v="18045"/>
    <x v="1"/>
  </r>
  <r>
    <s v="PO0181"/>
    <x v="47"/>
    <x v="3"/>
    <x v="139"/>
    <d v="2026-05-30T00:00:00"/>
    <n v="430"/>
    <n v="200"/>
    <n v="86000"/>
    <x v="2"/>
  </r>
  <r>
    <s v="PO0182"/>
    <x v="15"/>
    <x v="2"/>
    <x v="140"/>
    <d v="2026-04-03T00:00:00"/>
    <n v="367"/>
    <n v="406"/>
    <n v="149002"/>
    <x v="2"/>
  </r>
  <r>
    <s v="PO0183"/>
    <x v="42"/>
    <x v="5"/>
    <x v="141"/>
    <d v="2026-05-05T00:00:00"/>
    <n v="40"/>
    <n v="178"/>
    <n v="7120"/>
    <x v="2"/>
  </r>
  <r>
    <s v="PO0184"/>
    <x v="16"/>
    <x v="9"/>
    <x v="142"/>
    <d v="2025-08-21T00:00:00"/>
    <n v="394"/>
    <n v="87"/>
    <n v="34278"/>
    <x v="0"/>
  </r>
  <r>
    <s v="PO0185"/>
    <x v="24"/>
    <x v="7"/>
    <x v="143"/>
    <d v="2026-06-14T00:00:00"/>
    <n v="232"/>
    <n v="109"/>
    <n v="25288"/>
    <x v="2"/>
  </r>
  <r>
    <s v="PO0186"/>
    <x v="16"/>
    <x v="7"/>
    <x v="144"/>
    <d v="2025-10-20T00:00:00"/>
    <n v="291"/>
    <n v="276"/>
    <n v="80316"/>
    <x v="0"/>
  </r>
  <r>
    <s v="PO0187"/>
    <x v="7"/>
    <x v="2"/>
    <x v="145"/>
    <d v="2025-09-18T00:00:00"/>
    <n v="432"/>
    <n v="171"/>
    <n v="73872"/>
    <x v="0"/>
  </r>
  <r>
    <s v="PO0188"/>
    <x v="13"/>
    <x v="4"/>
    <x v="146"/>
    <d v="2026-06-05T00:00:00"/>
    <n v="92"/>
    <n v="406"/>
    <n v="37352"/>
    <x v="2"/>
  </r>
  <r>
    <s v="PO0189"/>
    <x v="16"/>
    <x v="5"/>
    <x v="10"/>
    <d v="2026-05-07T00:00:00"/>
    <n v="66"/>
    <n v="424"/>
    <n v="27984"/>
    <x v="0"/>
  </r>
  <r>
    <s v="PO0190"/>
    <x v="10"/>
    <x v="9"/>
    <x v="147"/>
    <d v="2025-08-14T00:00:00"/>
    <n v="83"/>
    <n v="252"/>
    <n v="20916"/>
    <x v="2"/>
  </r>
  <r>
    <s v="PO0191"/>
    <x v="8"/>
    <x v="2"/>
    <x v="148"/>
    <d v="2026-04-03T00:00:00"/>
    <n v="441"/>
    <n v="346"/>
    <n v="152586"/>
    <x v="2"/>
  </r>
  <r>
    <s v="PO0192"/>
    <x v="30"/>
    <x v="1"/>
    <x v="149"/>
    <d v="2026-01-18T00:00:00"/>
    <n v="261"/>
    <n v="32"/>
    <n v="8352"/>
    <x v="2"/>
  </r>
  <r>
    <s v="PO0193"/>
    <x v="30"/>
    <x v="9"/>
    <x v="58"/>
    <d v="2025-12-08T00:00:00"/>
    <n v="351"/>
    <n v="52"/>
    <n v="18252"/>
    <x v="2"/>
  </r>
  <r>
    <s v="PO0194"/>
    <x v="2"/>
    <x v="5"/>
    <x v="150"/>
    <d v="2025-12-31T00:00:00"/>
    <n v="79"/>
    <n v="91"/>
    <n v="7189"/>
    <x v="0"/>
  </r>
  <r>
    <s v="PO0195"/>
    <x v="40"/>
    <x v="8"/>
    <x v="151"/>
    <d v="2025-12-18T00:00:00"/>
    <n v="79"/>
    <n v="69"/>
    <n v="5451"/>
    <x v="1"/>
  </r>
  <r>
    <s v="PO0196"/>
    <x v="8"/>
    <x v="4"/>
    <x v="136"/>
    <d v="2025-09-20T00:00:00"/>
    <n v="252"/>
    <n v="209"/>
    <n v="52668"/>
    <x v="2"/>
  </r>
  <r>
    <s v="PO0197"/>
    <x v="24"/>
    <x v="2"/>
    <x v="103"/>
    <d v="2025-10-21T00:00:00"/>
    <n v="392"/>
    <n v="99"/>
    <n v="38808"/>
    <x v="0"/>
  </r>
  <r>
    <s v="PO0198"/>
    <x v="46"/>
    <x v="5"/>
    <x v="54"/>
    <d v="2025-09-30T00:00:00"/>
    <n v="228"/>
    <n v="500"/>
    <n v="114000"/>
    <x v="2"/>
  </r>
  <r>
    <s v="PO0199"/>
    <x v="16"/>
    <x v="3"/>
    <x v="152"/>
    <d v="2026-03-29T00:00:00"/>
    <n v="131"/>
    <n v="247"/>
    <n v="32357"/>
    <x v="0"/>
  </r>
  <r>
    <s v="PO0200"/>
    <x v="5"/>
    <x v="1"/>
    <x v="153"/>
    <d v="2025-10-24T00:00:00"/>
    <n v="371"/>
    <n v="208"/>
    <n v="77168"/>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SUP001"/>
    <x v="0"/>
    <s v="Canada"/>
    <s v="Electronics"/>
    <n v="11"/>
    <n v="3.9"/>
  </r>
  <r>
    <s v="SUP002"/>
    <x v="1"/>
    <s v="Mexico"/>
    <s v="Plastic"/>
    <n v="6"/>
    <n v="4.5"/>
  </r>
  <r>
    <s v="SUP003"/>
    <x v="2"/>
    <s v="Canada"/>
    <s v="Chemicals"/>
    <n v="16"/>
    <n v="3.5"/>
  </r>
  <r>
    <s v="SUP004"/>
    <x v="3"/>
    <s v="Canada"/>
    <s v="Mechanical"/>
    <n v="10"/>
    <n v="4.3"/>
  </r>
  <r>
    <s v="SUP005"/>
    <x v="4"/>
    <s v="Usa"/>
    <s v="Chemicals"/>
    <n v="9"/>
    <n v="4.5999999999999996"/>
  </r>
  <r>
    <s v="SUP006"/>
    <x v="5"/>
    <s v="Japan"/>
    <s v="Mechanical"/>
    <n v="17"/>
    <n v="4.4000000000000004"/>
  </r>
  <r>
    <s v="SUP007"/>
    <x v="6"/>
    <s v="Usa"/>
    <s v="Mechanical"/>
    <n v="25"/>
    <n v="4.0999999999999996"/>
  </r>
  <r>
    <s v="SUP008"/>
    <x v="7"/>
    <s v="India"/>
    <s v="Mechanical"/>
    <n v="9"/>
    <n v="4.9000000000000004"/>
  </r>
  <r>
    <s v="SUP009"/>
    <x v="8"/>
    <s v="China"/>
    <s v="Electronics"/>
    <n v="5"/>
    <n v="4.0999999999999996"/>
  </r>
  <r>
    <s v="SUP010"/>
    <x v="9"/>
    <s v="China"/>
    <s v="Packaging"/>
    <n v="22"/>
    <n v="3.9"/>
  </r>
  <r>
    <s v="SUP011"/>
    <x v="10"/>
    <s v="Usa"/>
    <s v="Plastic"/>
    <n v="17"/>
    <n v="4.3"/>
  </r>
  <r>
    <s v="SUP012"/>
    <x v="11"/>
    <s v="Japan"/>
    <s v="Electronics"/>
    <n v="20"/>
    <n v="3.9"/>
  </r>
  <r>
    <s v="SUP013"/>
    <x v="12"/>
    <s v="China"/>
    <s v="Chemicals"/>
    <n v="9"/>
    <n v="4.5999999999999996"/>
  </r>
  <r>
    <s v="SUP014"/>
    <x v="13"/>
    <s v="Usa"/>
    <s v="Plastic"/>
    <n v="10"/>
    <n v="4.7"/>
  </r>
  <r>
    <s v="SUP015"/>
    <x v="14"/>
    <s v="Canada"/>
    <s v="Mechanical"/>
    <n v="6"/>
    <n v="4.0999999999999996"/>
  </r>
  <r>
    <s v="SUP016"/>
    <x v="15"/>
    <s v="South Korea"/>
    <s v="Plastic"/>
    <n v="14"/>
    <n v="3.7"/>
  </r>
  <r>
    <s v="SUP017"/>
    <x v="16"/>
    <s v="China"/>
    <s v="Mechanical"/>
    <n v="24"/>
    <n v="3.9"/>
  </r>
  <r>
    <s v="SUP018"/>
    <x v="17"/>
    <s v="Canada"/>
    <s v="Chemicals"/>
    <n v="23"/>
    <n v="3.8"/>
  </r>
  <r>
    <s v="SUP019"/>
    <x v="18"/>
    <s v="Germany"/>
    <s v="Mechanical"/>
    <n v="17"/>
    <n v="4.0999999999999996"/>
  </r>
  <r>
    <s v="SUP020"/>
    <x v="19"/>
    <s v="Germany"/>
    <s v="Plastic"/>
    <n v="13"/>
    <n v="4.8"/>
  </r>
  <r>
    <s v="SUP021"/>
    <x v="20"/>
    <s v="Usa"/>
    <s v="Mechanical"/>
    <n v="4"/>
    <n v="4.7"/>
  </r>
  <r>
    <s v="SUP022"/>
    <x v="21"/>
    <s v="Japan"/>
    <s v="Packaging"/>
    <n v="5"/>
    <n v="3.8"/>
  </r>
  <r>
    <s v="SUP023"/>
    <x v="22"/>
    <s v="China"/>
    <s v="Mechanical"/>
    <n v="23"/>
    <n v="4.2"/>
  </r>
  <r>
    <s v="SUP024"/>
    <x v="23"/>
    <s v="South Korea"/>
    <s v="Mechanical"/>
    <n v="11"/>
    <n v="3.7"/>
  </r>
  <r>
    <s v="SUP025"/>
    <x v="24"/>
    <s v="India"/>
    <s v="Plastic"/>
    <n v="21"/>
    <n v="4.0999999999999996"/>
  </r>
  <r>
    <s v="SUP026"/>
    <x v="25"/>
    <s v="Japan"/>
    <s v="Packaging"/>
    <n v="10"/>
    <n v="5"/>
  </r>
  <r>
    <s v="SUP027"/>
    <x v="26"/>
    <s v="Mexico"/>
    <s v="Chemicals"/>
    <n v="18"/>
    <n v="3.6"/>
  </r>
  <r>
    <s v="SUP028"/>
    <x v="27"/>
    <s v="Usa"/>
    <s v="Electronics"/>
    <n v="7"/>
    <n v="4.4000000000000004"/>
  </r>
  <r>
    <s v="SUP029"/>
    <x v="28"/>
    <s v="Japan"/>
    <s v="Chemicals"/>
    <n v="5"/>
    <n v="4.0999999999999996"/>
  </r>
  <r>
    <s v="SUP030"/>
    <x v="29"/>
    <s v="South Korea"/>
    <s v="Chemicals"/>
    <n v="11"/>
    <n v="5"/>
  </r>
  <r>
    <s v="SUP031"/>
    <x v="30"/>
    <s v="Usa"/>
    <s v="Plastic"/>
    <n v="6"/>
    <n v="4.5"/>
  </r>
  <r>
    <s v="SUP032"/>
    <x v="31"/>
    <s v="India"/>
    <s v="Plastic"/>
    <n v="13"/>
    <n v="3.7"/>
  </r>
  <r>
    <s v="SUP033"/>
    <x v="32"/>
    <s v="Japan"/>
    <s v="Mechanical"/>
    <n v="17"/>
    <n v="3.5"/>
  </r>
  <r>
    <s v="SUP034"/>
    <x v="33"/>
    <s v="India"/>
    <s v="Chemicals"/>
    <n v="8"/>
    <n v="4.3"/>
  </r>
  <r>
    <s v="SUP035"/>
    <x v="34"/>
    <s v="Canada"/>
    <s v="Plastic"/>
    <n v="12"/>
    <n v="4.8"/>
  </r>
  <r>
    <s v="SUP036"/>
    <x v="35"/>
    <s v="Germany"/>
    <s v="Mechanical"/>
    <n v="14"/>
    <n v="4.5999999999999996"/>
  </r>
  <r>
    <s v="SUP037"/>
    <x v="36"/>
    <s v="Usa"/>
    <s v="Chemicals"/>
    <n v="13"/>
    <n v="4.2"/>
  </r>
  <r>
    <s v="SUP038"/>
    <x v="37"/>
    <s v="Canada"/>
    <s v="Packaging"/>
    <n v="12"/>
    <n v="3.9"/>
  </r>
  <r>
    <s v="SUP039"/>
    <x v="38"/>
    <s v="Germany"/>
    <s v="Chemicals"/>
    <n v="5"/>
    <n v="3.6"/>
  </r>
  <r>
    <s v="SUP040"/>
    <x v="39"/>
    <s v="South Korea"/>
    <s v="Electronics"/>
    <n v="20"/>
    <n v="4.5999999999999996"/>
  </r>
  <r>
    <s v="SUP041"/>
    <x v="40"/>
    <s v="Mexico"/>
    <s v="Plastic"/>
    <n v="18"/>
    <n v="4.9000000000000004"/>
  </r>
  <r>
    <s v="SUP042"/>
    <x v="41"/>
    <s v="Mexico"/>
    <s v="Packaging"/>
    <n v="19"/>
    <n v="4.8"/>
  </r>
  <r>
    <s v="SUP043"/>
    <x v="42"/>
    <s v="Japan"/>
    <s v="Mechanical"/>
    <n v="20"/>
    <n v="4.5999999999999996"/>
  </r>
  <r>
    <s v="SUP044"/>
    <x v="43"/>
    <s v="Germany"/>
    <s v="Plastic"/>
    <n v="12"/>
    <n v="4.0999999999999996"/>
  </r>
  <r>
    <s v="SUP045"/>
    <x v="44"/>
    <s v="China"/>
    <s v="Raw Materials"/>
    <n v="19"/>
    <n v="4.2"/>
  </r>
  <r>
    <s v="SUP046"/>
    <x v="45"/>
    <s v="Germany"/>
    <s v="Mechanical"/>
    <n v="5"/>
    <n v="4"/>
  </r>
  <r>
    <s v="SUP047"/>
    <x v="46"/>
    <s v="Germany"/>
    <s v="Chemicals"/>
    <n v="10"/>
    <n v="3.5"/>
  </r>
  <r>
    <s v="SUP048"/>
    <x v="47"/>
    <s v="Usa"/>
    <s v="Mechanical"/>
    <n v="5"/>
    <n v="4.9000000000000004"/>
  </r>
  <r>
    <s v="SUP049"/>
    <x v="48"/>
    <s v="China"/>
    <s v="Electronics"/>
    <n v="19"/>
    <n v="3.9"/>
  </r>
  <r>
    <s v="SUP050"/>
    <x v="49"/>
    <s v="South Korea"/>
    <s v="Mechanical"/>
    <n v="20"/>
    <n v="3.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ITM0001"/>
    <x v="0"/>
    <x v="0"/>
    <n v="488"/>
    <n v="111"/>
    <n v="58560"/>
    <b v="0"/>
  </r>
  <r>
    <s v="ITM0002"/>
    <x v="1"/>
    <x v="1"/>
    <n v="69"/>
    <n v="62"/>
    <n v="10626"/>
    <b v="0"/>
  </r>
  <r>
    <s v="ITM0003"/>
    <x v="2"/>
    <x v="0"/>
    <n v="923"/>
    <n v="170"/>
    <n v="143988"/>
    <b v="0"/>
  </r>
  <r>
    <s v="ITM0004"/>
    <x v="3"/>
    <x v="2"/>
    <n v="887"/>
    <n v="77"/>
    <n v="204010"/>
    <b v="0"/>
  </r>
  <r>
    <s v="ITM0005"/>
    <x v="4"/>
    <x v="1"/>
    <n v="764"/>
    <n v="143"/>
    <n v="306364"/>
    <b v="0"/>
  </r>
  <r>
    <s v="ITM0006"/>
    <x v="1"/>
    <x v="0"/>
    <n v="66"/>
    <n v="152"/>
    <n v="2376"/>
    <b v="1"/>
  </r>
  <r>
    <s v="ITM0007"/>
    <x v="0"/>
    <x v="3"/>
    <n v="219"/>
    <n v="142"/>
    <n v="64167"/>
    <b v="0"/>
  </r>
  <r>
    <s v="ITM0008"/>
    <x v="5"/>
    <x v="0"/>
    <n v="415"/>
    <n v="179"/>
    <n v="99600"/>
    <b v="0"/>
  </r>
  <r>
    <s v="ITM0009"/>
    <x v="4"/>
    <x v="4"/>
    <n v="865"/>
    <n v="80"/>
    <n v="64875"/>
    <b v="0"/>
  </r>
  <r>
    <s v="ITM0010"/>
    <x v="6"/>
    <x v="3"/>
    <n v="402"/>
    <n v="136"/>
    <n v="118590"/>
    <b v="0"/>
  </r>
  <r>
    <s v="ITM0011"/>
    <x v="7"/>
    <x v="0"/>
    <n v="223"/>
    <n v="180"/>
    <n v="47945"/>
    <b v="0"/>
  </r>
  <r>
    <s v="ITM0012"/>
    <x v="3"/>
    <x v="3"/>
    <n v="66"/>
    <n v="59"/>
    <n v="5280"/>
    <b v="0"/>
  </r>
  <r>
    <s v="ITM0013"/>
    <x v="8"/>
    <x v="0"/>
    <n v="551"/>
    <n v="166"/>
    <n v="47386"/>
    <b v="0"/>
  </r>
  <r>
    <s v="ITM0014"/>
    <x v="0"/>
    <x v="0"/>
    <n v="163"/>
    <n v="133"/>
    <n v="79218"/>
    <b v="0"/>
  </r>
  <r>
    <s v="ITM0015"/>
    <x v="1"/>
    <x v="3"/>
    <n v="186"/>
    <n v="150"/>
    <n v="60450"/>
    <b v="0"/>
  </r>
  <r>
    <s v="ITM0016"/>
    <x v="2"/>
    <x v="0"/>
    <n v="364"/>
    <n v="179"/>
    <n v="157976"/>
    <b v="0"/>
  </r>
  <r>
    <s v="ITM0017"/>
    <x v="0"/>
    <x v="1"/>
    <n v="521"/>
    <n v="194"/>
    <n v="84923"/>
    <b v="0"/>
  </r>
  <r>
    <s v="ITM0018"/>
    <x v="3"/>
    <x v="4"/>
    <n v="397"/>
    <n v="134"/>
    <n v="140538"/>
    <b v="0"/>
  </r>
  <r>
    <s v="ITM0019"/>
    <x v="6"/>
    <x v="4"/>
    <n v="617"/>
    <n v="128"/>
    <n v="257289"/>
    <b v="0"/>
  </r>
  <r>
    <s v="ITM0020"/>
    <x v="2"/>
    <x v="0"/>
    <n v="505"/>
    <n v="117"/>
    <n v="174225"/>
    <b v="0"/>
  </r>
  <r>
    <s v="ITM0021"/>
    <x v="2"/>
    <x v="1"/>
    <n v="253"/>
    <n v="63"/>
    <n v="77924"/>
    <b v="0"/>
  </r>
  <r>
    <s v="ITM0022"/>
    <x v="7"/>
    <x v="2"/>
    <n v="556"/>
    <n v="147"/>
    <n v="47260"/>
    <b v="0"/>
  </r>
  <r>
    <s v="ITM0023"/>
    <x v="3"/>
    <x v="4"/>
    <n v="606"/>
    <n v="78"/>
    <n v="64842"/>
    <b v="0"/>
  </r>
  <r>
    <s v="ITM0024"/>
    <x v="8"/>
    <x v="1"/>
    <n v="341"/>
    <n v="157"/>
    <n v="29667"/>
    <b v="0"/>
  </r>
  <r>
    <s v="ITM0025"/>
    <x v="9"/>
    <x v="0"/>
    <n v="440"/>
    <n v="178"/>
    <n v="178640"/>
    <b v="0"/>
  </r>
  <r>
    <s v="ITM0026"/>
    <x v="8"/>
    <x v="2"/>
    <n v="913"/>
    <n v="65"/>
    <n v="338723"/>
    <b v="0"/>
  </r>
  <r>
    <s v="ITM0027"/>
    <x v="0"/>
    <x v="1"/>
    <n v="232"/>
    <n v="193"/>
    <n v="40832"/>
    <b v="0"/>
  </r>
  <r>
    <s v="ITM0028"/>
    <x v="0"/>
    <x v="2"/>
    <n v="405"/>
    <n v="130"/>
    <n v="202095"/>
    <b v="0"/>
  </r>
  <r>
    <s v="ITM0029"/>
    <x v="8"/>
    <x v="0"/>
    <n v="954"/>
    <n v="186"/>
    <n v="176490"/>
    <b v="0"/>
  </r>
  <r>
    <s v="ITM0030"/>
    <x v="1"/>
    <x v="1"/>
    <n v="712"/>
    <n v="117"/>
    <n v="229264"/>
    <b v="0"/>
  </r>
  <r>
    <s v="ITM0031"/>
    <x v="9"/>
    <x v="0"/>
    <n v="1000"/>
    <n v="113"/>
    <n v="152000"/>
    <b v="0"/>
  </r>
  <r>
    <s v="ITM0032"/>
    <x v="4"/>
    <x v="3"/>
    <n v="250"/>
    <n v="126"/>
    <n v="101000"/>
    <b v="0"/>
  </r>
  <r>
    <s v="ITM0033"/>
    <x v="9"/>
    <x v="1"/>
    <n v="726"/>
    <n v="175"/>
    <n v="124872"/>
    <b v="0"/>
  </r>
  <r>
    <s v="ITM0034"/>
    <x v="1"/>
    <x v="4"/>
    <n v="593"/>
    <n v="120"/>
    <n v="93101"/>
    <b v="0"/>
  </r>
  <r>
    <s v="ITM0035"/>
    <x v="2"/>
    <x v="1"/>
    <n v="712"/>
    <n v="189"/>
    <n v="145248"/>
    <b v="0"/>
  </r>
  <r>
    <s v="ITM0036"/>
    <x v="1"/>
    <x v="4"/>
    <n v="997"/>
    <n v="87"/>
    <n v="157526"/>
    <b v="0"/>
  </r>
  <r>
    <s v="ITM0037"/>
    <x v="4"/>
    <x v="1"/>
    <n v="998"/>
    <n v="70"/>
    <n v="186626"/>
    <b v="0"/>
  </r>
  <r>
    <s v="ITM0038"/>
    <x v="4"/>
    <x v="2"/>
    <n v="785"/>
    <n v="172"/>
    <n v="93415"/>
    <b v="0"/>
  </r>
  <r>
    <s v="ITM0039"/>
    <x v="0"/>
    <x v="3"/>
    <n v="297"/>
    <n v="193"/>
    <n v="108702"/>
    <b v="0"/>
  </r>
  <r>
    <s v="ITM0040"/>
    <x v="7"/>
    <x v="2"/>
    <n v="131"/>
    <n v="200"/>
    <n v="17292"/>
    <b v="1"/>
  </r>
  <r>
    <s v="ITM0041"/>
    <x v="3"/>
    <x v="2"/>
    <n v="705"/>
    <n v="185"/>
    <n v="88125"/>
    <b v="0"/>
  </r>
  <r>
    <s v="ITM0042"/>
    <x v="3"/>
    <x v="1"/>
    <n v="122"/>
    <n v="155"/>
    <n v="21838"/>
    <b v="1"/>
  </r>
  <r>
    <s v="ITM0043"/>
    <x v="5"/>
    <x v="0"/>
    <n v="717"/>
    <n v="85"/>
    <n v="8604"/>
    <b v="0"/>
  </r>
  <r>
    <s v="ITM0044"/>
    <x v="7"/>
    <x v="2"/>
    <n v="436"/>
    <n v="171"/>
    <n v="110744"/>
    <b v="0"/>
  </r>
  <r>
    <s v="ITM0045"/>
    <x v="4"/>
    <x v="4"/>
    <n v="348"/>
    <n v="123"/>
    <n v="118320"/>
    <b v="0"/>
  </r>
  <r>
    <s v="ITM0046"/>
    <x v="5"/>
    <x v="0"/>
    <n v="687"/>
    <n v="196"/>
    <n v="87936"/>
    <b v="0"/>
  </r>
  <r>
    <s v="ITM0047"/>
    <x v="3"/>
    <x v="2"/>
    <n v="955"/>
    <n v="94"/>
    <n v="212965"/>
    <b v="0"/>
  </r>
  <r>
    <s v="ITM0048"/>
    <x v="3"/>
    <x v="1"/>
    <n v="876"/>
    <n v="151"/>
    <n v="361788"/>
    <b v="0"/>
  </r>
  <r>
    <s v="ITM0049"/>
    <x v="7"/>
    <x v="4"/>
    <n v="979"/>
    <n v="124"/>
    <n v="448382"/>
    <b v="0"/>
  </r>
  <r>
    <s v="ITM0050"/>
    <x v="3"/>
    <x v="4"/>
    <n v="325"/>
    <n v="195"/>
    <n v="103350"/>
    <b v="0"/>
  </r>
  <r>
    <s v="ITM0051"/>
    <x v="1"/>
    <x v="0"/>
    <n v="311"/>
    <n v="166"/>
    <n v="105118"/>
    <b v="0"/>
  </r>
  <r>
    <s v="ITM0052"/>
    <x v="0"/>
    <x v="0"/>
    <n v="525"/>
    <n v="84"/>
    <n v="233625"/>
    <b v="0"/>
  </r>
  <r>
    <s v="ITM0053"/>
    <x v="8"/>
    <x v="4"/>
    <n v="299"/>
    <n v="99"/>
    <n v="126776"/>
    <b v="0"/>
  </r>
  <r>
    <s v="ITM0054"/>
    <x v="1"/>
    <x v="3"/>
    <n v="186"/>
    <n v="167"/>
    <n v="63426"/>
    <b v="0"/>
  </r>
  <r>
    <s v="ITM0055"/>
    <x v="7"/>
    <x v="3"/>
    <n v="34"/>
    <n v="136"/>
    <n v="14076"/>
    <b v="1"/>
  </r>
  <r>
    <s v="ITM0056"/>
    <x v="2"/>
    <x v="0"/>
    <n v="710"/>
    <n v="99"/>
    <n v="70290"/>
    <b v="0"/>
  </r>
  <r>
    <s v="ITM0057"/>
    <x v="6"/>
    <x v="3"/>
    <n v="866"/>
    <n v="159"/>
    <n v="236418"/>
    <b v="0"/>
  </r>
  <r>
    <s v="ITM0058"/>
    <x v="5"/>
    <x v="2"/>
    <n v="430"/>
    <n v="74"/>
    <n v="44720"/>
    <b v="0"/>
  </r>
  <r>
    <s v="ITM0059"/>
    <x v="8"/>
    <x v="3"/>
    <n v="351"/>
    <n v="113"/>
    <n v="4563"/>
    <b v="0"/>
  </r>
  <r>
    <s v="ITM0060"/>
    <x v="6"/>
    <x v="3"/>
    <n v="261"/>
    <n v="164"/>
    <n v="103095"/>
    <b v="0"/>
  </r>
  <r>
    <s v="ITM0061"/>
    <x v="1"/>
    <x v="0"/>
    <n v="329"/>
    <n v="199"/>
    <n v="125020"/>
    <b v="0"/>
  </r>
  <r>
    <s v="ITM0062"/>
    <x v="3"/>
    <x v="2"/>
    <n v="287"/>
    <n v="142"/>
    <n v="104468"/>
    <b v="0"/>
  </r>
  <r>
    <s v="ITM0063"/>
    <x v="3"/>
    <x v="3"/>
    <n v="703"/>
    <n v="80"/>
    <n v="174344"/>
    <b v="0"/>
  </r>
  <r>
    <s v="ITM0064"/>
    <x v="7"/>
    <x v="3"/>
    <n v="435"/>
    <n v="178"/>
    <n v="209670"/>
    <b v="0"/>
  </r>
  <r>
    <s v="ITM0065"/>
    <x v="5"/>
    <x v="0"/>
    <n v="674"/>
    <n v="125"/>
    <n v="133452"/>
    <b v="0"/>
  </r>
  <r>
    <s v="ITM0066"/>
    <x v="9"/>
    <x v="2"/>
    <n v="244"/>
    <n v="84"/>
    <n v="61976"/>
    <b v="0"/>
  </r>
  <r>
    <s v="ITM0067"/>
    <x v="8"/>
    <x v="0"/>
    <n v="785"/>
    <n v="145"/>
    <n v="174270"/>
    <b v="0"/>
  </r>
  <r>
    <s v="ITM0068"/>
    <x v="8"/>
    <x v="2"/>
    <n v="795"/>
    <n v="187"/>
    <n v="333900"/>
    <b v="0"/>
  </r>
  <r>
    <s v="ITM0069"/>
    <x v="9"/>
    <x v="1"/>
    <n v="716"/>
    <n v="70"/>
    <n v="199764"/>
    <b v="0"/>
  </r>
  <r>
    <s v="ITM0070"/>
    <x v="0"/>
    <x v="0"/>
    <n v="740"/>
    <n v="142"/>
    <n v="36260"/>
    <b v="0"/>
  </r>
  <r>
    <s v="ITM0071"/>
    <x v="5"/>
    <x v="0"/>
    <n v="83"/>
    <n v="190"/>
    <n v="39176"/>
    <b v="1"/>
  </r>
  <r>
    <s v="ITM0072"/>
    <x v="9"/>
    <x v="2"/>
    <n v="606"/>
    <n v="187"/>
    <n v="52116"/>
    <b v="0"/>
  </r>
  <r>
    <s v="ITM0073"/>
    <x v="1"/>
    <x v="4"/>
    <n v="894"/>
    <n v="183"/>
    <n v="210984"/>
    <b v="0"/>
  </r>
  <r>
    <s v="ITM0074"/>
    <x v="9"/>
    <x v="4"/>
    <n v="754"/>
    <n v="199"/>
    <n v="196040"/>
    <b v="0"/>
  </r>
  <r>
    <s v="ITM0075"/>
    <x v="0"/>
    <x v="2"/>
    <n v="476"/>
    <n v="64"/>
    <n v="115192"/>
    <b v="0"/>
  </r>
  <r>
    <s v="ITM0076"/>
    <x v="0"/>
    <x v="4"/>
    <n v="445"/>
    <n v="166"/>
    <n v="132610"/>
    <b v="0"/>
  </r>
  <r>
    <s v="ITM0077"/>
    <x v="0"/>
    <x v="4"/>
    <n v="493"/>
    <n v="128"/>
    <n v="187340"/>
    <b v="0"/>
  </r>
  <r>
    <s v="ITM0078"/>
    <x v="6"/>
    <x v="2"/>
    <n v="280"/>
    <n v="50"/>
    <n v="109480"/>
    <b v="0"/>
  </r>
  <r>
    <s v="ITM0079"/>
    <x v="2"/>
    <x v="3"/>
    <n v="94"/>
    <n v="61"/>
    <n v="21244"/>
    <b v="0"/>
  </r>
  <r>
    <s v="ITM0080"/>
    <x v="5"/>
    <x v="4"/>
    <n v="574"/>
    <n v="65"/>
    <n v="280112"/>
    <b v="0"/>
  </r>
  <r>
    <s v="ITM0081"/>
    <x v="8"/>
    <x v="2"/>
    <n v="52"/>
    <n v="123"/>
    <n v="11388"/>
    <b v="1"/>
  </r>
  <r>
    <s v="ITM0082"/>
    <x v="7"/>
    <x v="1"/>
    <n v="804"/>
    <n v="157"/>
    <n v="161604"/>
    <b v="0"/>
  </r>
  <r>
    <s v="ITM0083"/>
    <x v="8"/>
    <x v="4"/>
    <n v="910"/>
    <n v="146"/>
    <n v="183820"/>
    <b v="0"/>
  </r>
  <r>
    <s v="ITM0084"/>
    <x v="0"/>
    <x v="2"/>
    <n v="156"/>
    <n v="139"/>
    <n v="10920"/>
    <b v="0"/>
  </r>
  <r>
    <s v="ITM0085"/>
    <x v="0"/>
    <x v="2"/>
    <n v="422"/>
    <n v="185"/>
    <n v="31650"/>
    <b v="0"/>
  </r>
  <r>
    <s v="ITM0086"/>
    <x v="3"/>
    <x v="1"/>
    <n v="794"/>
    <n v="55"/>
    <n v="128628"/>
    <b v="0"/>
  </r>
  <r>
    <s v="ITM0087"/>
    <x v="0"/>
    <x v="2"/>
    <n v="454"/>
    <n v="186"/>
    <n v="92616"/>
    <b v="0"/>
  </r>
  <r>
    <s v="ITM0088"/>
    <x v="9"/>
    <x v="3"/>
    <n v="491"/>
    <n v="138"/>
    <n v="43699"/>
    <b v="0"/>
  </r>
  <r>
    <s v="ITM0089"/>
    <x v="9"/>
    <x v="1"/>
    <n v="979"/>
    <n v="78"/>
    <n v="25454"/>
    <b v="0"/>
  </r>
  <r>
    <s v="ITM0090"/>
    <x v="2"/>
    <x v="2"/>
    <n v="804"/>
    <n v="54"/>
    <n v="106932"/>
    <b v="0"/>
  </r>
  <r>
    <s v="ITM0091"/>
    <x v="5"/>
    <x v="0"/>
    <n v="123"/>
    <n v="58"/>
    <n v="29274"/>
    <b v="0"/>
  </r>
  <r>
    <s v="ITM0092"/>
    <x v="3"/>
    <x v="1"/>
    <n v="270"/>
    <n v="61"/>
    <n v="58050"/>
    <b v="0"/>
  </r>
  <r>
    <s v="ITM0093"/>
    <x v="9"/>
    <x v="4"/>
    <n v="572"/>
    <n v="105"/>
    <n v="226512"/>
    <b v="0"/>
  </r>
  <r>
    <s v="ITM0094"/>
    <x v="7"/>
    <x v="0"/>
    <n v="535"/>
    <n v="124"/>
    <n v="69015"/>
    <b v="0"/>
  </r>
  <r>
    <s v="ITM0095"/>
    <x v="1"/>
    <x v="3"/>
    <n v="611"/>
    <n v="132"/>
    <n v="80041"/>
    <b v="0"/>
  </r>
  <r>
    <s v="ITM0096"/>
    <x v="7"/>
    <x v="1"/>
    <n v="696"/>
    <n v="183"/>
    <n v="85608"/>
    <b v="0"/>
  </r>
  <r>
    <s v="ITM0097"/>
    <x v="4"/>
    <x v="0"/>
    <n v="301"/>
    <n v="65"/>
    <n v="88795"/>
    <b v="0"/>
  </r>
  <r>
    <s v="ITM0098"/>
    <x v="7"/>
    <x v="1"/>
    <n v="661"/>
    <n v="159"/>
    <n v="194334"/>
    <b v="0"/>
  </r>
  <r>
    <s v="ITM0099"/>
    <x v="3"/>
    <x v="0"/>
    <n v="372"/>
    <n v="147"/>
    <n v="153264"/>
    <b v="0"/>
  </r>
  <r>
    <s v="ITM0100"/>
    <x v="1"/>
    <x v="2"/>
    <n v="733"/>
    <n v="156"/>
    <n v="160527"/>
    <b v="0"/>
  </r>
  <r>
    <s v="ITM0101"/>
    <x v="4"/>
    <x v="0"/>
    <n v="405"/>
    <n v="97"/>
    <n v="160380"/>
    <b v="0"/>
  </r>
  <r>
    <s v="ITM0102"/>
    <x v="8"/>
    <x v="2"/>
    <n v="266"/>
    <n v="107"/>
    <n v="43358"/>
    <b v="0"/>
  </r>
  <r>
    <s v="ITM0103"/>
    <x v="8"/>
    <x v="1"/>
    <n v="956"/>
    <n v="64"/>
    <n v="283932"/>
    <b v="0"/>
  </r>
  <r>
    <s v="ITM0104"/>
    <x v="6"/>
    <x v="1"/>
    <n v="590"/>
    <n v="185"/>
    <n v="46020"/>
    <b v="0"/>
  </r>
  <r>
    <s v="ITM0105"/>
    <x v="9"/>
    <x v="4"/>
    <n v="281"/>
    <n v="102"/>
    <n v="50299"/>
    <b v="0"/>
  </r>
  <r>
    <s v="ITM0106"/>
    <x v="8"/>
    <x v="0"/>
    <n v="887"/>
    <n v="144"/>
    <n v="50559"/>
    <b v="0"/>
  </r>
  <r>
    <s v="ITM0107"/>
    <x v="9"/>
    <x v="0"/>
    <n v="72"/>
    <n v="118"/>
    <n v="14616"/>
    <b v="1"/>
  </r>
  <r>
    <s v="ITM0108"/>
    <x v="2"/>
    <x v="0"/>
    <n v="60"/>
    <n v="68"/>
    <n v="6360"/>
    <b v="1"/>
  </r>
  <r>
    <s v="ITM0109"/>
    <x v="0"/>
    <x v="3"/>
    <n v="242"/>
    <n v="172"/>
    <n v="28072"/>
    <b v="0"/>
  </r>
  <r>
    <s v="ITM0110"/>
    <x v="4"/>
    <x v="2"/>
    <n v="999"/>
    <n v="53"/>
    <n v="117882"/>
    <b v="0"/>
  </r>
  <r>
    <s v="ITM0111"/>
    <x v="5"/>
    <x v="2"/>
    <n v="784"/>
    <n v="172"/>
    <n v="374752"/>
    <b v="0"/>
  </r>
  <r>
    <s v="ITM0112"/>
    <x v="2"/>
    <x v="2"/>
    <n v="740"/>
    <n v="102"/>
    <n v="157620"/>
    <b v="0"/>
  </r>
  <r>
    <s v="ITM0113"/>
    <x v="0"/>
    <x v="1"/>
    <n v="349"/>
    <n v="122"/>
    <n v="71196"/>
    <b v="0"/>
  </r>
  <r>
    <s v="ITM0114"/>
    <x v="0"/>
    <x v="3"/>
    <n v="684"/>
    <n v="141"/>
    <n v="114228"/>
    <b v="0"/>
  </r>
  <r>
    <s v="ITM0115"/>
    <x v="1"/>
    <x v="4"/>
    <n v="545"/>
    <n v="177"/>
    <n v="135160"/>
    <b v="0"/>
  </r>
  <r>
    <s v="ITM0116"/>
    <x v="8"/>
    <x v="2"/>
    <n v="799"/>
    <n v="131"/>
    <n v="381922"/>
    <b v="0"/>
  </r>
  <r>
    <s v="ITM0117"/>
    <x v="1"/>
    <x v="0"/>
    <n v="340"/>
    <n v="155"/>
    <n v="11220"/>
    <b v="0"/>
  </r>
  <r>
    <s v="ITM0118"/>
    <x v="9"/>
    <x v="3"/>
    <n v="779"/>
    <n v="87"/>
    <n v="14022"/>
    <b v="0"/>
  </r>
  <r>
    <s v="ITM0119"/>
    <x v="0"/>
    <x v="1"/>
    <n v="977"/>
    <n v="199"/>
    <n v="298962"/>
    <b v="0"/>
  </r>
  <r>
    <s v="ITM0120"/>
    <x v="4"/>
    <x v="2"/>
    <n v="176"/>
    <n v="100"/>
    <n v="31328"/>
    <b v="0"/>
  </r>
  <r>
    <s v="ITM0121"/>
    <x v="6"/>
    <x v="0"/>
    <n v="603"/>
    <n v="112"/>
    <n v="159795"/>
    <b v="0"/>
  </r>
  <r>
    <s v="ITM0122"/>
    <x v="1"/>
    <x v="1"/>
    <n v="283"/>
    <n v="175"/>
    <n v="107540"/>
    <b v="0"/>
  </r>
  <r>
    <s v="ITM0123"/>
    <x v="8"/>
    <x v="2"/>
    <n v="192"/>
    <n v="140"/>
    <n v="18432"/>
    <b v="0"/>
  </r>
  <r>
    <s v="ITM0124"/>
    <x v="0"/>
    <x v="0"/>
    <n v="520"/>
    <n v="97"/>
    <n v="249080"/>
    <b v="0"/>
  </r>
  <r>
    <s v="ITM0125"/>
    <x v="3"/>
    <x v="4"/>
    <n v="556"/>
    <n v="58"/>
    <n v="244084"/>
    <b v="0"/>
  </r>
  <r>
    <s v="ITM0126"/>
    <x v="3"/>
    <x v="2"/>
    <n v="802"/>
    <n v="51"/>
    <n v="177242"/>
    <b v="0"/>
  </r>
  <r>
    <s v="ITM0127"/>
    <x v="9"/>
    <x v="2"/>
    <n v="89"/>
    <n v="88"/>
    <n v="1246"/>
    <b v="0"/>
  </r>
  <r>
    <s v="ITM0128"/>
    <x v="0"/>
    <x v="0"/>
    <n v="486"/>
    <n v="145"/>
    <n v="19440"/>
    <b v="0"/>
  </r>
  <r>
    <s v="ITM0129"/>
    <x v="2"/>
    <x v="1"/>
    <n v="954"/>
    <n v="173"/>
    <n v="331038"/>
    <b v="0"/>
  </r>
  <r>
    <s v="ITM0130"/>
    <x v="3"/>
    <x v="1"/>
    <n v="26"/>
    <n v="186"/>
    <n v="7592"/>
    <b v="1"/>
  </r>
  <r>
    <s v="ITM0131"/>
    <x v="3"/>
    <x v="3"/>
    <n v="37"/>
    <n v="185"/>
    <n v="14023"/>
    <b v="1"/>
  </r>
  <r>
    <s v="ITM0132"/>
    <x v="0"/>
    <x v="1"/>
    <n v="313"/>
    <n v="54"/>
    <n v="83571"/>
    <b v="0"/>
  </r>
  <r>
    <s v="ITM0133"/>
    <x v="7"/>
    <x v="2"/>
    <n v="129"/>
    <n v="74"/>
    <n v="35862"/>
    <b v="0"/>
  </r>
  <r>
    <s v="ITM0134"/>
    <x v="9"/>
    <x v="3"/>
    <n v="216"/>
    <n v="184"/>
    <n v="30024"/>
    <b v="0"/>
  </r>
  <r>
    <s v="ITM0135"/>
    <x v="4"/>
    <x v="3"/>
    <n v="834"/>
    <n v="151"/>
    <n v="41700"/>
    <b v="0"/>
  </r>
  <r>
    <s v="ITM0136"/>
    <x v="6"/>
    <x v="2"/>
    <n v="490"/>
    <n v="194"/>
    <n v="65660"/>
    <b v="0"/>
  </r>
  <r>
    <s v="ITM0137"/>
    <x v="4"/>
    <x v="4"/>
    <n v="720"/>
    <n v="70"/>
    <n v="247680"/>
    <b v="0"/>
  </r>
  <r>
    <s v="ITM0138"/>
    <x v="5"/>
    <x v="0"/>
    <n v="435"/>
    <n v="147"/>
    <n v="88305"/>
    <b v="0"/>
  </r>
  <r>
    <s v="ITM0139"/>
    <x v="8"/>
    <x v="2"/>
    <n v="77"/>
    <n v="52"/>
    <n v="28413"/>
    <b v="0"/>
  </r>
  <r>
    <s v="ITM0140"/>
    <x v="5"/>
    <x v="3"/>
    <n v="531"/>
    <n v="161"/>
    <n v="180540"/>
    <b v="0"/>
  </r>
  <r>
    <s v="ITM0141"/>
    <x v="2"/>
    <x v="0"/>
    <n v="898"/>
    <n v="74"/>
    <n v="420264"/>
    <b v="0"/>
  </r>
  <r>
    <s v="ITM0142"/>
    <x v="3"/>
    <x v="0"/>
    <n v="255"/>
    <n v="104"/>
    <n v="120105"/>
    <b v="0"/>
  </r>
  <r>
    <s v="ITM0143"/>
    <x v="8"/>
    <x v="4"/>
    <n v="297"/>
    <n v="61"/>
    <n v="143451"/>
    <b v="0"/>
  </r>
  <r>
    <s v="ITM0144"/>
    <x v="4"/>
    <x v="4"/>
    <n v="940"/>
    <n v="189"/>
    <n v="280120"/>
    <b v="0"/>
  </r>
  <r>
    <s v="ITM0145"/>
    <x v="7"/>
    <x v="2"/>
    <n v="971"/>
    <n v="130"/>
    <n v="17478"/>
    <b v="0"/>
  </r>
  <r>
    <s v="ITM0146"/>
    <x v="2"/>
    <x v="4"/>
    <n v="167"/>
    <n v="151"/>
    <n v="80995"/>
    <b v="0"/>
  </r>
  <r>
    <s v="ITM0147"/>
    <x v="4"/>
    <x v="0"/>
    <n v="186"/>
    <n v="194"/>
    <n v="24738"/>
    <b v="1"/>
  </r>
  <r>
    <s v="ITM0148"/>
    <x v="6"/>
    <x v="1"/>
    <n v="713"/>
    <n v="188"/>
    <n v="127627"/>
    <b v="0"/>
  </r>
  <r>
    <s v="ITM0149"/>
    <x v="7"/>
    <x v="3"/>
    <n v="829"/>
    <n v="70"/>
    <n v="220514"/>
    <b v="0"/>
  </r>
  <r>
    <s v="ITM0150"/>
    <x v="3"/>
    <x v="4"/>
    <n v="120"/>
    <n v="161"/>
    <n v="15360"/>
    <b v="1"/>
  </r>
  <r>
    <s v="ITM0151"/>
    <x v="1"/>
    <x v="3"/>
    <n v="639"/>
    <n v="151"/>
    <n v="259434"/>
    <b v="0"/>
  </r>
  <r>
    <s v="ITM0152"/>
    <x v="3"/>
    <x v="1"/>
    <n v="669"/>
    <n v="119"/>
    <n v="274959"/>
    <b v="0"/>
  </r>
  <r>
    <s v="ITM0153"/>
    <x v="8"/>
    <x v="1"/>
    <n v="253"/>
    <n v="141"/>
    <n v="74129"/>
    <b v="0"/>
  </r>
  <r>
    <s v="ITM0154"/>
    <x v="6"/>
    <x v="1"/>
    <n v="210"/>
    <n v="199"/>
    <n v="73080"/>
    <b v="0"/>
  </r>
  <r>
    <s v="ITM0155"/>
    <x v="5"/>
    <x v="2"/>
    <n v="810"/>
    <n v="125"/>
    <n v="338580"/>
    <b v="0"/>
  </r>
  <r>
    <s v="ITM0156"/>
    <x v="5"/>
    <x v="1"/>
    <n v="104"/>
    <n v="118"/>
    <n v="9152"/>
    <b v="1"/>
  </r>
  <r>
    <s v="ITM0157"/>
    <x v="7"/>
    <x v="3"/>
    <n v="777"/>
    <n v="149"/>
    <n v="133644"/>
    <b v="0"/>
  </r>
  <r>
    <s v="ITM0158"/>
    <x v="5"/>
    <x v="3"/>
    <n v="113"/>
    <n v="51"/>
    <n v="55596"/>
    <b v="0"/>
  </r>
  <r>
    <s v="ITM0159"/>
    <x v="8"/>
    <x v="2"/>
    <n v="388"/>
    <n v="119"/>
    <n v="24056"/>
    <b v="0"/>
  </r>
  <r>
    <s v="ITM0160"/>
    <x v="5"/>
    <x v="0"/>
    <n v="211"/>
    <n v="160"/>
    <n v="50429"/>
    <b v="0"/>
  </r>
  <r>
    <s v="ITM0161"/>
    <x v="0"/>
    <x v="4"/>
    <n v="544"/>
    <n v="154"/>
    <n v="33728"/>
    <b v="0"/>
  </r>
  <r>
    <s v="ITM0162"/>
    <x v="5"/>
    <x v="0"/>
    <n v="382"/>
    <n v="191"/>
    <n v="21774"/>
    <b v="0"/>
  </r>
  <r>
    <s v="ITM0163"/>
    <x v="2"/>
    <x v="1"/>
    <n v="823"/>
    <n v="133"/>
    <n v="371996"/>
    <b v="0"/>
  </r>
  <r>
    <s v="ITM0164"/>
    <x v="3"/>
    <x v="4"/>
    <n v="318"/>
    <n v="155"/>
    <n v="66144"/>
    <b v="0"/>
  </r>
  <r>
    <s v="ITM0165"/>
    <x v="0"/>
    <x v="0"/>
    <n v="946"/>
    <n v="112"/>
    <n v="285692"/>
    <b v="0"/>
  </r>
  <r>
    <s v="ITM0166"/>
    <x v="7"/>
    <x v="2"/>
    <n v="721"/>
    <n v="147"/>
    <n v="69216"/>
    <b v="0"/>
  </r>
  <r>
    <s v="ITM0167"/>
    <x v="4"/>
    <x v="2"/>
    <n v="328"/>
    <n v="118"/>
    <n v="85936"/>
    <b v="0"/>
  </r>
  <r>
    <s v="ITM0168"/>
    <x v="5"/>
    <x v="1"/>
    <n v="191"/>
    <n v="161"/>
    <n v="28841"/>
    <b v="0"/>
  </r>
  <r>
    <s v="ITM0169"/>
    <x v="4"/>
    <x v="3"/>
    <n v="515"/>
    <n v="69"/>
    <n v="99910"/>
    <b v="0"/>
  </r>
  <r>
    <s v="ITM0170"/>
    <x v="9"/>
    <x v="0"/>
    <n v="758"/>
    <n v="176"/>
    <n v="238012"/>
    <b v="0"/>
  </r>
  <r>
    <s v="ITM0171"/>
    <x v="9"/>
    <x v="3"/>
    <n v="488"/>
    <n v="77"/>
    <n v="38552"/>
    <b v="0"/>
  </r>
  <r>
    <s v="ITM0172"/>
    <x v="3"/>
    <x v="0"/>
    <n v="991"/>
    <n v="151"/>
    <n v="178380"/>
    <b v="0"/>
  </r>
  <r>
    <s v="ITM0173"/>
    <x v="6"/>
    <x v="3"/>
    <n v="843"/>
    <n v="134"/>
    <n v="198105"/>
    <b v="0"/>
  </r>
  <r>
    <s v="ITM0174"/>
    <x v="6"/>
    <x v="3"/>
    <n v="855"/>
    <n v="84"/>
    <n v="139365"/>
    <b v="0"/>
  </r>
  <r>
    <s v="ITM0175"/>
    <x v="2"/>
    <x v="3"/>
    <n v="990"/>
    <n v="101"/>
    <n v="252450"/>
    <b v="0"/>
  </r>
  <r>
    <s v="ITM0176"/>
    <x v="7"/>
    <x v="1"/>
    <n v="427"/>
    <n v="131"/>
    <n v="67893"/>
    <b v="0"/>
  </r>
  <r>
    <s v="ITM0177"/>
    <x v="2"/>
    <x v="1"/>
    <n v="820"/>
    <n v="112"/>
    <n v="144320"/>
    <b v="0"/>
  </r>
  <r>
    <s v="ITM0178"/>
    <x v="4"/>
    <x v="4"/>
    <n v="856"/>
    <n v="150"/>
    <n v="167776"/>
    <b v="0"/>
  </r>
  <r>
    <s v="ITM0179"/>
    <x v="2"/>
    <x v="0"/>
    <n v="224"/>
    <n v="189"/>
    <n v="22848"/>
    <b v="0"/>
  </r>
  <r>
    <s v="ITM0180"/>
    <x v="3"/>
    <x v="2"/>
    <n v="995"/>
    <n v="168"/>
    <n v="489540"/>
    <b v="0"/>
  </r>
  <r>
    <s v="ITM0181"/>
    <x v="8"/>
    <x v="4"/>
    <n v="836"/>
    <n v="124"/>
    <n v="363660"/>
    <b v="0"/>
  </r>
  <r>
    <s v="ITM0182"/>
    <x v="6"/>
    <x v="3"/>
    <n v="709"/>
    <n v="177"/>
    <n v="57429"/>
    <b v="0"/>
  </r>
  <r>
    <s v="ITM0183"/>
    <x v="9"/>
    <x v="1"/>
    <n v="278"/>
    <n v="89"/>
    <n v="104528"/>
    <b v="0"/>
  </r>
  <r>
    <s v="ITM0184"/>
    <x v="6"/>
    <x v="1"/>
    <n v="95"/>
    <n v="164"/>
    <n v="30020"/>
    <b v="1"/>
  </r>
  <r>
    <s v="ITM0185"/>
    <x v="2"/>
    <x v="1"/>
    <n v="430"/>
    <n v="186"/>
    <n v="115670"/>
    <b v="0"/>
  </r>
  <r>
    <s v="ITM0186"/>
    <x v="0"/>
    <x v="0"/>
    <n v="57"/>
    <n v="142"/>
    <n v="21033"/>
    <b v="1"/>
  </r>
  <r>
    <s v="ITM0187"/>
    <x v="2"/>
    <x v="2"/>
    <n v="673"/>
    <n v="71"/>
    <n v="43745"/>
    <b v="0"/>
  </r>
  <r>
    <s v="ITM0188"/>
    <x v="1"/>
    <x v="1"/>
    <n v="190"/>
    <n v="61"/>
    <n v="56620"/>
    <b v="0"/>
  </r>
  <r>
    <s v="ITM0189"/>
    <x v="1"/>
    <x v="4"/>
    <n v="835"/>
    <n v="160"/>
    <n v="53440"/>
    <b v="0"/>
  </r>
  <r>
    <s v="ITM0190"/>
    <x v="5"/>
    <x v="0"/>
    <n v="284"/>
    <n v="106"/>
    <n v="76964"/>
    <b v="0"/>
  </r>
  <r>
    <s v="ITM0191"/>
    <x v="0"/>
    <x v="1"/>
    <n v="614"/>
    <n v="197"/>
    <n v="75522"/>
    <b v="0"/>
  </r>
  <r>
    <s v="ITM0192"/>
    <x v="1"/>
    <x v="0"/>
    <n v="420"/>
    <n v="168"/>
    <n v="170100"/>
    <b v="0"/>
  </r>
  <r>
    <s v="ITM0193"/>
    <x v="0"/>
    <x v="1"/>
    <n v="174"/>
    <n v="138"/>
    <n v="3828"/>
    <b v="0"/>
  </r>
  <r>
    <s v="ITM0194"/>
    <x v="5"/>
    <x v="4"/>
    <n v="322"/>
    <n v="156"/>
    <n v="154882"/>
    <b v="0"/>
  </r>
  <r>
    <s v="ITM0195"/>
    <x v="5"/>
    <x v="3"/>
    <n v="871"/>
    <n v="86"/>
    <n v="163748"/>
    <b v="0"/>
  </r>
  <r>
    <s v="ITM0196"/>
    <x v="1"/>
    <x v="1"/>
    <n v="486"/>
    <n v="102"/>
    <n v="134136"/>
    <b v="0"/>
  </r>
  <r>
    <s v="ITM0197"/>
    <x v="1"/>
    <x v="1"/>
    <n v="507"/>
    <n v="74"/>
    <n v="118638"/>
    <b v="0"/>
  </r>
  <r>
    <s v="ITM0198"/>
    <x v="1"/>
    <x v="4"/>
    <n v="88"/>
    <n v="126"/>
    <n v="2816"/>
    <b v="1"/>
  </r>
  <r>
    <s v="ITM0199"/>
    <x v="3"/>
    <x v="4"/>
    <n v="889"/>
    <n v="137"/>
    <n v="303149"/>
    <b v="0"/>
  </r>
  <r>
    <s v="ITM0200"/>
    <x v="7"/>
    <x v="2"/>
    <n v="972"/>
    <n v="112"/>
    <n v="266328"/>
    <b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PO0001"/>
    <s v="SUP037"/>
    <s v="Aluminum Plate"/>
    <d v="2026-05-28T00:00:00"/>
    <d v="2026-06-07T00:00:00"/>
    <n v="315"/>
    <n v="262"/>
    <n v="82530"/>
    <s v="Closed"/>
    <x v="0"/>
  </r>
  <r>
    <s v="PO0017"/>
    <s v="SUP037"/>
    <s v="Transformer"/>
    <d v="2026-02-10T00:00:00"/>
    <d v="2026-02-14T00:00:00"/>
    <n v="146"/>
    <n v="316"/>
    <n v="46136"/>
    <s v="Open"/>
    <x v="0"/>
  </r>
  <r>
    <s v="PO0022"/>
    <s v="SUP037"/>
    <s v="Motor"/>
    <d v="2026-01-27T00:00:00"/>
    <d v="2026-02-16T00:00:00"/>
    <n v="71"/>
    <n v="57"/>
    <n v="4047"/>
    <s v="Cancelled"/>
    <x v="0"/>
  </r>
  <r>
    <s v="PO0048"/>
    <s v="SUP037"/>
    <s v="Bearing"/>
    <d v="2026-07-01T00:00:00"/>
    <d v="2026-07-05T00:00:00"/>
    <n v="117"/>
    <n v="150"/>
    <n v="17550"/>
    <s v="Open"/>
    <x v="0"/>
  </r>
  <r>
    <s v="PO0031"/>
    <s v="SUP001"/>
    <s v="Circuit Board"/>
    <d v="2025-09-21T00:00:00"/>
    <d v="2025-09-28T00:00:00"/>
    <n v="190"/>
    <n v="414"/>
    <n v="78660"/>
    <s v="Open"/>
    <x v="1"/>
  </r>
  <r>
    <s v="PO0002"/>
    <s v="SUP013"/>
    <s v="Sensor"/>
    <d v="2025-07-24T00:00:00"/>
    <d v="2025-08-09T00:00:00"/>
    <n v="68"/>
    <n v="69"/>
    <n v="4692"/>
    <s v="Closed"/>
    <x v="0"/>
  </r>
  <r>
    <s v="PO0005"/>
    <s v="SUP013"/>
    <s v="Bearing"/>
    <d v="2026-03-11T00:00:00"/>
    <d v="2026-03-18T00:00:00"/>
    <n v="294"/>
    <n v="249"/>
    <n v="73206"/>
    <s v="Open"/>
    <x v="0"/>
  </r>
  <r>
    <s v="PO0012"/>
    <s v="SUP013"/>
    <s v="Transformer"/>
    <d v="2026-04-22T00:00:00"/>
    <d v="2026-04-26T00:00:00"/>
    <n v="171"/>
    <n v="131"/>
    <n v="22401"/>
    <s v="Cancelled"/>
    <x v="0"/>
  </r>
  <r>
    <s v="PO0003"/>
    <s v="SUP027"/>
    <s v="Copper Wire"/>
    <d v="2025-09-09T00:00:00"/>
    <d v="2025-09-13T00:00:00"/>
    <n v="259"/>
    <n v="462"/>
    <n v="119658"/>
    <s v="Open"/>
    <x v="0"/>
  </r>
  <r>
    <s v="PO0018"/>
    <s v="SUP027"/>
    <s v="Sensor"/>
    <d v="2025-11-30T00:00:00"/>
    <d v="2025-12-19T00:00:00"/>
    <n v="356"/>
    <n v="318"/>
    <n v="113208"/>
    <s v="Closed"/>
    <x v="0"/>
  </r>
  <r>
    <s v="PO0037"/>
    <s v="SUP027"/>
    <s v="Motor"/>
    <d v="2026-05-05T00:00:00"/>
    <d v="2026-05-12T00:00:00"/>
    <n v="337"/>
    <n v="403"/>
    <n v="135811"/>
    <s v="Open"/>
    <x v="0"/>
  </r>
  <r>
    <s v="PO0035"/>
    <s v="SUP003"/>
    <s v="Sensor"/>
    <d v="2026-03-29T00:00:00"/>
    <d v="2026-04-02T00:00:00"/>
    <n v="177"/>
    <n v="206"/>
    <n v="36462"/>
    <s v="Open"/>
    <x v="0"/>
  </r>
  <r>
    <s v="PO0046"/>
    <s v="SUP003"/>
    <s v="Sensor"/>
    <d v="2026-01-20T00:00:00"/>
    <d v="2026-02-05T00:00:00"/>
    <n v="75"/>
    <n v="325"/>
    <n v="24375"/>
    <s v="Cancelled"/>
    <x v="0"/>
  </r>
  <r>
    <s v="PO0004"/>
    <s v="SUP026"/>
    <s v="Motor"/>
    <d v="2025-12-19T00:00:00"/>
    <d v="2025-12-25T00:00:00"/>
    <n v="392"/>
    <n v="193"/>
    <n v="75656"/>
    <s v="Open"/>
    <x v="2"/>
  </r>
  <r>
    <s v="PO0020"/>
    <s v="SUP026"/>
    <s v="Aluminum Plate"/>
    <d v="2026-01-08T00:00:00"/>
    <d v="2026-01-20T00:00:00"/>
    <n v="87"/>
    <n v="363"/>
    <n v="31581"/>
    <s v="Closed"/>
    <x v="2"/>
  </r>
  <r>
    <s v="PO0030"/>
    <s v="SUP004"/>
    <s v="Circuit Board"/>
    <d v="2025-10-21T00:00:00"/>
    <d v="2025-11-06T00:00:00"/>
    <n v="67"/>
    <n v="344"/>
    <n v="23048"/>
    <s v="Open"/>
    <x v="3"/>
  </r>
  <r>
    <s v="PO0016"/>
    <s v="SUP005"/>
    <s v="Bearing"/>
    <d v="2026-05-16T00:00:00"/>
    <d v="2026-05-26T00:00:00"/>
    <n v="365"/>
    <n v="461"/>
    <n v="168265"/>
    <s v="Open"/>
    <x v="0"/>
  </r>
  <r>
    <s v="PO0006"/>
    <s v="SUP018"/>
    <s v="Aluminum Plate"/>
    <d v="2026-05-03T00:00:00"/>
    <d v="2026-05-08T00:00:00"/>
    <n v="256"/>
    <n v="147"/>
    <n v="37632"/>
    <s v="Cancelled"/>
    <x v="0"/>
  </r>
  <r>
    <s v="PO0043"/>
    <s v="SUP018"/>
    <s v="Sensor"/>
    <d v="2026-02-08T00:00:00"/>
    <d v="2026-02-19T00:00:00"/>
    <n v="462"/>
    <n v="55"/>
    <n v="25410"/>
    <s v="Cancelled"/>
    <x v="0"/>
  </r>
  <r>
    <s v="PO0007"/>
    <s v="SUP007"/>
    <s v="Steel Rod"/>
    <d v="2025-10-28T00:00:00"/>
    <d v="2025-11-17T00:00:00"/>
    <n v="45"/>
    <n v="353"/>
    <n v="15885"/>
    <s v="Open"/>
    <x v="3"/>
  </r>
  <r>
    <s v="PO0008"/>
    <s v="SUP049"/>
    <s v="Bearing"/>
    <d v="2025-12-19T00:00:00"/>
    <d v="2025-12-27T00:00:00"/>
    <n v="454"/>
    <n v="141"/>
    <n v="64014"/>
    <s v="Closed"/>
    <x v="1"/>
  </r>
  <r>
    <s v="PO0021"/>
    <s v="SUP049"/>
    <s v="Aluminum Plate"/>
    <d v="2025-07-16T00:00:00"/>
    <d v="2025-07-19T00:00:00"/>
    <n v="499"/>
    <n v="57"/>
    <n v="28443"/>
    <s v="Cancelled"/>
    <x v="1"/>
  </r>
  <r>
    <s v="PO0027"/>
    <s v="SUP008"/>
    <s v="Plastic Sheet"/>
    <d v="2025-12-02T00:00:00"/>
    <d v="2025-12-22T00:00:00"/>
    <n v="475"/>
    <n v="74"/>
    <n v="35150"/>
    <s v="Closed"/>
    <x v="3"/>
  </r>
  <r>
    <s v="PO0033"/>
    <s v="SUP008"/>
    <s v="Rubber Seal"/>
    <d v="2026-01-11T00:00:00"/>
    <d v="2026-01-18T00:00:00"/>
    <n v="58"/>
    <n v="472"/>
    <n v="27376"/>
    <s v="Open"/>
    <x v="3"/>
  </r>
  <r>
    <s v="PO0045"/>
    <s v="SUP008"/>
    <s v="Transformer"/>
    <d v="2025-11-17T00:00:00"/>
    <d v="2025-11-25T00:00:00"/>
    <n v="469"/>
    <n v="153"/>
    <n v="71757"/>
    <s v="Closed"/>
    <x v="3"/>
  </r>
  <r>
    <s v="PO0009"/>
    <s v="SUP031"/>
    <s v="Steel Rod"/>
    <d v="2025-09-28T00:00:00"/>
    <d v="2025-10-13T00:00:00"/>
    <n v="129"/>
    <n v="462"/>
    <n v="59598"/>
    <s v="Open"/>
    <x v="4"/>
  </r>
  <r>
    <s v="PO0041"/>
    <s v="SUP031"/>
    <s v="Sensor"/>
    <d v="2026-01-04T00:00:00"/>
    <d v="2026-01-21T00:00:00"/>
    <n v="133"/>
    <n v="122"/>
    <n v="16226"/>
    <s v="Closed"/>
    <x v="4"/>
  </r>
  <r>
    <s v="PO0010"/>
    <s v="SUP025"/>
    <s v="Aluminum Plate"/>
    <d v="2026-04-02T00:00:00"/>
    <d v="2026-04-13T00:00:00"/>
    <n v="21"/>
    <n v="219"/>
    <n v="4599"/>
    <s v="Closed"/>
    <x v="4"/>
  </r>
  <r>
    <s v="PO0011"/>
    <s v="SUP028"/>
    <s v="Aluminum Plate"/>
    <d v="2026-01-02T00:00:00"/>
    <d v="2026-01-22T00:00:00"/>
    <n v="376"/>
    <n v="394"/>
    <n v="148144"/>
    <s v="Open"/>
    <x v="1"/>
  </r>
  <r>
    <s v="PO0050"/>
    <s v="SUP028"/>
    <s v="Transformer"/>
    <d v="2025-08-28T00:00:00"/>
    <d v="2025-09-10T00:00:00"/>
    <n v="55"/>
    <n v="360"/>
    <n v="19800"/>
    <s v="Closed"/>
    <x v="1"/>
  </r>
  <r>
    <s v="PO0040"/>
    <s v="SUP011"/>
    <s v="Bearing"/>
    <d v="2026-01-24T00:00:00"/>
    <d v="2026-01-30T00:00:00"/>
    <n v="423"/>
    <n v="379"/>
    <n v="160317"/>
    <s v="Open"/>
    <x v="4"/>
  </r>
  <r>
    <s v="PO0038"/>
    <s v="SUP012"/>
    <s v="Plastic Sheet"/>
    <d v="2025-10-24T00:00:00"/>
    <d v="2025-10-27T00:00:00"/>
    <n v="471"/>
    <n v="231"/>
    <n v="108801"/>
    <s v="Cancelled"/>
    <x v="1"/>
  </r>
  <r>
    <s v="PO0013"/>
    <s v="SUP035"/>
    <s v="Steel Rod"/>
    <d v="2025-08-23T00:00:00"/>
    <d v="2025-09-05T00:00:00"/>
    <n v="51"/>
    <n v="402"/>
    <n v="20502"/>
    <s v="Open"/>
    <x v="4"/>
  </r>
  <r>
    <s v="PO0014"/>
    <s v="SUP038"/>
    <s v="Plastic Sheet"/>
    <d v="2026-03-15T00:00:00"/>
    <d v="2026-04-03T00:00:00"/>
    <n v="264"/>
    <n v="277"/>
    <n v="73128"/>
    <s v="Open"/>
    <x v="2"/>
  </r>
  <r>
    <s v="PO0019"/>
    <s v="SUP014"/>
    <s v="Motor"/>
    <d v="2025-10-25T00:00:00"/>
    <d v="2025-11-07T00:00:00"/>
    <n v="362"/>
    <n v="386"/>
    <n v="139732"/>
    <s v="Closed"/>
    <x v="4"/>
  </r>
  <r>
    <s v="PO0015"/>
    <s v="SUP033"/>
    <s v="Copper Wire"/>
    <d v="2025-12-20T00:00:00"/>
    <d v="2025-12-28T00:00:00"/>
    <n v="61"/>
    <n v="455"/>
    <n v="27755"/>
    <s v="Cancelled"/>
    <x v="3"/>
  </r>
  <r>
    <s v="PO0044"/>
    <s v="SUP033"/>
    <s v="Sensor"/>
    <d v="2026-04-03T00:00:00"/>
    <d v="2026-04-23T00:00:00"/>
    <n v="224"/>
    <n v="367"/>
    <n v="82208"/>
    <s v="Open"/>
    <x v="3"/>
  </r>
  <r>
    <s v="PO0042"/>
    <s v="SUP015"/>
    <s v="Bearing"/>
    <d v="2026-05-21T00:00:00"/>
    <d v="2026-05-30T00:00:00"/>
    <n v="134"/>
    <n v="32"/>
    <n v="4288"/>
    <s v="Closed"/>
    <x v="3"/>
  </r>
  <r>
    <s v="PO0023"/>
    <s v="SUP017"/>
    <s v="Copper Wire"/>
    <d v="2026-03-06T00:00:00"/>
    <d v="2026-03-20T00:00:00"/>
    <n v="87"/>
    <n v="497"/>
    <n v="43239"/>
    <s v="Open"/>
    <x v="3"/>
  </r>
  <r>
    <s v="PO0028"/>
    <s v="SUP019"/>
    <s v="Motor"/>
    <d v="2025-09-04T00:00:00"/>
    <d v="2025-09-17T00:00:00"/>
    <n v="329"/>
    <n v="127"/>
    <n v="41783"/>
    <s v="Cancelled"/>
    <x v="3"/>
  </r>
  <r>
    <s v="PO0025"/>
    <s v="SUP020"/>
    <s v="Steel Rod"/>
    <d v="2026-02-13T00:00:00"/>
    <d v="2026-03-04T00:00:00"/>
    <n v="333"/>
    <n v="433"/>
    <n v="144189"/>
    <s v="Cancelled"/>
    <x v="4"/>
  </r>
  <r>
    <s v="PO0047"/>
    <s v="SUP021"/>
    <s v="Copper Wire"/>
    <d v="2025-10-16T00:00:00"/>
    <d v="2025-11-04T00:00:00"/>
    <n v="243"/>
    <n v="330"/>
    <n v="80190"/>
    <s v="Closed"/>
    <x v="3"/>
  </r>
  <r>
    <s v="PO0039"/>
    <s v="SUP022"/>
    <s v="Motor"/>
    <d v="2026-02-23T00:00:00"/>
    <d v="2026-03-11T00:00:00"/>
    <n v="420"/>
    <n v="496"/>
    <n v="208320"/>
    <s v="Closed"/>
    <x v="2"/>
  </r>
  <r>
    <s v="PO0024"/>
    <s v="SUP024"/>
    <s v="Rubber Seal"/>
    <d v="2025-11-09T00:00:00"/>
    <d v="2025-11-26T00:00:00"/>
    <n v="165"/>
    <n v="100"/>
    <n v="16500"/>
    <s v="Cancelled"/>
    <x v="3"/>
  </r>
  <r>
    <s v="PO0034"/>
    <s v="SUP024"/>
    <s v="Bearing"/>
    <d v="2025-09-24T00:00:00"/>
    <d v="2025-10-01T00:00:00"/>
    <n v="318"/>
    <n v="302"/>
    <n v="96036"/>
    <s v="Open"/>
    <x v="3"/>
  </r>
  <r>
    <s v="PO0026"/>
    <s v="SUP036"/>
    <s v="Plastic Sheet"/>
    <d v="2026-04-24T00:00:00"/>
    <d v="2026-04-30T00:00:00"/>
    <n v="173"/>
    <n v="497"/>
    <n v="85981"/>
    <s v="Closed"/>
    <x v="3"/>
  </r>
  <r>
    <s v="PO0029"/>
    <s v="SUP041"/>
    <s v="Aluminum Plate"/>
    <d v="2025-07-26T00:00:00"/>
    <d v="2025-08-14T00:00:00"/>
    <n v="456"/>
    <n v="155"/>
    <n v="70680"/>
    <s v="Closed"/>
    <x v="4"/>
  </r>
  <r>
    <s v="PO0032"/>
    <s v="SUP048"/>
    <s v="Rubber Seal"/>
    <d v="2026-02-07T00:00:00"/>
    <d v="2026-02-23T00:00:00"/>
    <n v="246"/>
    <n v="302"/>
    <n v="74292"/>
    <s v="Open"/>
    <x v="3"/>
  </r>
  <r>
    <s v="PO0049"/>
    <s v="SUP034"/>
    <s v="Motor"/>
    <d v="2026-01-16T00:00:00"/>
    <d v="2026-02-05T00:00:00"/>
    <n v="493"/>
    <n v="432"/>
    <n v="212976"/>
    <s v="Closed"/>
    <x v="0"/>
  </r>
  <r>
    <s v="PO0036"/>
    <s v="SUP044"/>
    <s v="Sensor"/>
    <d v="2026-01-09T00:00:00"/>
    <d v="2026-01-15T00:00:00"/>
    <n v="147"/>
    <n v="361"/>
    <n v="53067"/>
    <s v="Cancelled"/>
    <x v="4"/>
  </r>
  <r>
    <s v="PO0051"/>
    <s v="SUP043"/>
    <s v="Rubber Seal"/>
    <d v="2025-12-09T00:00:00"/>
    <d v="2025-12-21T00:00:00"/>
    <n v="454"/>
    <n v="83"/>
    <n v="37682"/>
    <s v="Closed"/>
    <x v="3"/>
  </r>
  <r>
    <s v="PO0052"/>
    <s v="SUP043"/>
    <s v="Circuit Board"/>
    <d v="2025-08-15T00:00:00"/>
    <d v="2025-08-30T00:00:00"/>
    <n v="229"/>
    <n v="187"/>
    <n v="42823"/>
    <s v="Cancelled"/>
    <x v="3"/>
  </r>
  <r>
    <s v="PO0053"/>
    <s v="SUP009"/>
    <s v="Plastic Sheet"/>
    <d v="2025-09-24T00:00:00"/>
    <d v="2025-10-09T00:00:00"/>
    <n v="118"/>
    <n v="235"/>
    <n v="27730"/>
    <s v="Cancelled"/>
    <x v="1"/>
  </r>
  <r>
    <s v="PO0054"/>
    <s v="SUP037"/>
    <s v="Steel Rod"/>
    <d v="2026-04-30T00:00:00"/>
    <d v="2026-05-20T00:00:00"/>
    <n v="174"/>
    <n v="227"/>
    <n v="39498"/>
    <s v="Closed"/>
    <x v="0"/>
  </r>
  <r>
    <s v="PO0055"/>
    <s v="SUP019"/>
    <s v="Aluminum Plate"/>
    <d v="2026-06-18T00:00:00"/>
    <d v="2026-07-01T00:00:00"/>
    <n v="127"/>
    <n v="240"/>
    <n v="30480"/>
    <s v="Closed"/>
    <x v="3"/>
  </r>
  <r>
    <s v="PO0056"/>
    <s v="SUP029"/>
    <s v="Aluminum Plate"/>
    <d v="2026-06-03T00:00:00"/>
    <d v="2026-06-22T00:00:00"/>
    <n v="365"/>
    <n v="129"/>
    <n v="47085"/>
    <s v="Cancelled"/>
    <x v="0"/>
  </r>
  <r>
    <s v="PO0057"/>
    <s v="SUP011"/>
    <s v="Rubber Seal"/>
    <d v="2025-09-19T00:00:00"/>
    <d v="2025-10-01T00:00:00"/>
    <n v="357"/>
    <n v="63"/>
    <n v="22491"/>
    <s v="Cancelled"/>
    <x v="4"/>
  </r>
  <r>
    <s v="PO0058"/>
    <s v="SUP041"/>
    <s v="Motor"/>
    <d v="2025-10-31T00:00:00"/>
    <d v="2025-11-05T00:00:00"/>
    <n v="337"/>
    <n v="191"/>
    <n v="64367"/>
    <s v="Cancelled"/>
    <x v="4"/>
  </r>
  <r>
    <s v="PO0059"/>
    <s v="SUP020"/>
    <s v="Plastic Sheet"/>
    <d v="2025-11-11T00:00:00"/>
    <d v="2025-11-20T00:00:00"/>
    <n v="135"/>
    <n v="432"/>
    <n v="58320"/>
    <s v="Open"/>
    <x v="4"/>
  </r>
  <r>
    <s v="PO0060"/>
    <s v="SUP003"/>
    <s v="Aluminum Plate"/>
    <d v="2026-02-05T00:00:00"/>
    <d v="2026-02-10T00:00:00"/>
    <n v="145"/>
    <n v="263"/>
    <n v="38135"/>
    <s v="Closed"/>
    <x v="0"/>
  </r>
  <r>
    <s v="PO0061"/>
    <s v="SUP041"/>
    <s v="Aluminum Plate"/>
    <d v="2025-11-21T00:00:00"/>
    <d v="2025-12-06T00:00:00"/>
    <n v="314"/>
    <n v="119"/>
    <n v="37366"/>
    <s v="Closed"/>
    <x v="4"/>
  </r>
  <r>
    <s v="PO0062"/>
    <s v="SUP016"/>
    <s v="Copper Wire"/>
    <d v="2025-07-27T00:00:00"/>
    <d v="2025-07-30T00:00:00"/>
    <n v="95"/>
    <n v="355"/>
    <n v="33725"/>
    <s v="Closed"/>
    <x v="4"/>
  </r>
  <r>
    <s v="PO0063"/>
    <s v="SUP015"/>
    <s v="Aluminum Plate"/>
    <d v="2026-05-08T00:00:00"/>
    <d v="2026-05-27T00:00:00"/>
    <n v="110"/>
    <n v="431"/>
    <n v="47410"/>
    <s v="Open"/>
    <x v="3"/>
  </r>
  <r>
    <s v="PO0064"/>
    <s v="SUP036"/>
    <s v="Aluminum Plate"/>
    <d v="2026-05-04T00:00:00"/>
    <d v="2026-05-10T00:00:00"/>
    <n v="147"/>
    <n v="489"/>
    <n v="71883"/>
    <s v="Open"/>
    <x v="3"/>
  </r>
  <r>
    <s v="PO0065"/>
    <s v="SUP030"/>
    <s v="Transformer"/>
    <d v="2026-05-08T00:00:00"/>
    <d v="2026-05-28T00:00:00"/>
    <n v="361"/>
    <n v="291"/>
    <n v="105051"/>
    <s v="Closed"/>
    <x v="0"/>
  </r>
  <r>
    <s v="PO0066"/>
    <s v="SUP049"/>
    <s v="Bearing"/>
    <d v="2026-01-10T00:00:00"/>
    <d v="2026-01-29T00:00:00"/>
    <n v="476"/>
    <n v="246"/>
    <n v="117096"/>
    <s v="Cancelled"/>
    <x v="1"/>
  </r>
  <r>
    <s v="PO0067"/>
    <s v="SUP029"/>
    <s v="Aluminum Plate"/>
    <d v="2025-07-19T00:00:00"/>
    <d v="2025-08-06T00:00:00"/>
    <n v="479"/>
    <n v="101"/>
    <n v="48379"/>
    <s v="Closed"/>
    <x v="0"/>
  </r>
  <r>
    <s v="PO0068"/>
    <s v="SUP049"/>
    <s v="Rubber Seal"/>
    <d v="2025-09-14T00:00:00"/>
    <d v="2025-09-25T00:00:00"/>
    <n v="146"/>
    <n v="450"/>
    <n v="65700"/>
    <s v="Closed"/>
    <x v="1"/>
  </r>
  <r>
    <s v="PO0069"/>
    <s v="SUP041"/>
    <s v="Copper Wire"/>
    <d v="2025-07-23T00:00:00"/>
    <d v="2025-08-09T00:00:00"/>
    <n v="142"/>
    <n v="160"/>
    <n v="22720"/>
    <s v="Cancelled"/>
    <x v="4"/>
  </r>
  <r>
    <s v="PO0070"/>
    <s v="SUP019"/>
    <s v="Sensor"/>
    <d v="2025-12-18T00:00:00"/>
    <d v="2025-12-31T00:00:00"/>
    <n v="140"/>
    <n v="159"/>
    <n v="22260"/>
    <s v="Cancelled"/>
    <x v="3"/>
  </r>
  <r>
    <s v="PO0071"/>
    <s v="SUP006"/>
    <s v="Bearing"/>
    <d v="2026-06-11T00:00:00"/>
    <d v="2026-06-21T00:00:00"/>
    <n v="90"/>
    <n v="97"/>
    <n v="8730"/>
    <s v="Cancelled"/>
    <x v="3"/>
  </r>
  <r>
    <s v="PO0072"/>
    <s v="SUP010"/>
    <s v="Bearing"/>
    <d v="2025-11-25T00:00:00"/>
    <d v="2025-11-30T00:00:00"/>
    <n v="381"/>
    <n v="129"/>
    <n v="49149"/>
    <s v="Closed"/>
    <x v="2"/>
  </r>
  <r>
    <s v="PO0073"/>
    <s v="SUP022"/>
    <s v="Steel Rod"/>
    <d v="2026-03-04T00:00:00"/>
    <d v="2026-03-20T00:00:00"/>
    <n v="297"/>
    <n v="258"/>
    <n v="76626"/>
    <s v="Open"/>
    <x v="2"/>
  </r>
  <r>
    <s v="PO0074"/>
    <s v="SUP027"/>
    <s v="Transformer"/>
    <d v="2026-06-27T00:00:00"/>
    <d v="2026-06-30T00:00:00"/>
    <n v="219"/>
    <n v="483"/>
    <n v="105777"/>
    <s v="Closed"/>
    <x v="0"/>
  </r>
  <r>
    <s v="PO0075"/>
    <s v="SUP031"/>
    <s v="Bearing"/>
    <d v="2026-06-17T00:00:00"/>
    <d v="2026-06-29T00:00:00"/>
    <n v="23"/>
    <n v="200"/>
    <n v="4600"/>
    <s v="Closed"/>
    <x v="4"/>
  </r>
  <r>
    <s v="PO0076"/>
    <s v="SUP035"/>
    <s v="Transformer"/>
    <d v="2026-04-22T00:00:00"/>
    <d v="2026-05-12T00:00:00"/>
    <n v="402"/>
    <n v="396"/>
    <n v="159192"/>
    <s v="Open"/>
    <x v="4"/>
  </r>
  <r>
    <s v="PO0077"/>
    <s v="SUP032"/>
    <s v="Aluminum Plate"/>
    <d v="2025-09-25T00:00:00"/>
    <d v="2025-10-11T00:00:00"/>
    <n v="132"/>
    <n v="159"/>
    <n v="20988"/>
    <s v="Open"/>
    <x v="4"/>
  </r>
  <r>
    <s v="PO0078"/>
    <s v="SUP025"/>
    <s v="Plastic Sheet"/>
    <d v="2026-03-06T00:00:00"/>
    <d v="2026-03-21T00:00:00"/>
    <n v="192"/>
    <n v="362"/>
    <n v="69504"/>
    <s v="Closed"/>
    <x v="4"/>
  </r>
  <r>
    <s v="PO0079"/>
    <s v="SUP009"/>
    <s v="Bearing"/>
    <d v="2025-11-26T00:00:00"/>
    <d v="2025-11-29T00:00:00"/>
    <n v="338"/>
    <n v="293"/>
    <n v="99034"/>
    <s v="Cancelled"/>
    <x v="1"/>
  </r>
  <r>
    <s v="PO0080"/>
    <s v="SUP037"/>
    <s v="Bearing"/>
    <d v="2025-08-13T00:00:00"/>
    <d v="2025-08-18T00:00:00"/>
    <n v="359"/>
    <n v="33"/>
    <n v="11847"/>
    <s v="Open"/>
    <x v="0"/>
  </r>
  <r>
    <s v="PO0081"/>
    <s v="SUP030"/>
    <s v="Bearing"/>
    <d v="2026-01-06T00:00:00"/>
    <d v="2026-01-17T00:00:00"/>
    <n v="113"/>
    <n v="45"/>
    <n v="5085"/>
    <s v="Closed"/>
    <x v="0"/>
  </r>
  <r>
    <s v="PO0082"/>
    <s v="SUP014"/>
    <s v="Bearing"/>
    <d v="2026-05-21T00:00:00"/>
    <d v="2026-06-03T00:00:00"/>
    <n v="252"/>
    <n v="187"/>
    <n v="47124"/>
    <s v="Closed"/>
    <x v="4"/>
  </r>
  <r>
    <s v="PO0083"/>
    <s v="SUP049"/>
    <s v="Copper Wire"/>
    <d v="2026-05-06T00:00:00"/>
    <d v="2026-05-17T00:00:00"/>
    <n v="445"/>
    <n v="235"/>
    <n v="104575"/>
    <s v="Closed"/>
    <x v="1"/>
  </r>
  <r>
    <s v="PO0084"/>
    <s v="SUP002"/>
    <s v="Sensor"/>
    <d v="2026-04-28T00:00:00"/>
    <d v="2026-05-02T00:00:00"/>
    <n v="403"/>
    <n v="296"/>
    <n v="119288"/>
    <s v="Open"/>
    <x v="4"/>
  </r>
  <r>
    <s v="PO0085"/>
    <s v="SUP042"/>
    <s v="Steel Rod"/>
    <d v="2026-02-12T00:00:00"/>
    <d v="2026-02-16T00:00:00"/>
    <n v="55"/>
    <n v="419"/>
    <n v="23045"/>
    <s v="Open"/>
    <x v="2"/>
  </r>
  <r>
    <s v="PO0086"/>
    <s v="SUP013"/>
    <s v="Motor"/>
    <d v="2026-06-02T00:00:00"/>
    <d v="2026-06-09T00:00:00"/>
    <n v="449"/>
    <n v="30"/>
    <n v="13470"/>
    <s v="Open"/>
    <x v="0"/>
  </r>
  <r>
    <s v="PO0087"/>
    <s v="SUP031"/>
    <s v="Aluminum Plate"/>
    <d v="2026-02-02T00:00:00"/>
    <d v="2026-02-11T00:00:00"/>
    <n v="362"/>
    <n v="78"/>
    <n v="28236"/>
    <s v="Cancelled"/>
    <x v="4"/>
  </r>
  <r>
    <s v="PO0088"/>
    <s v="SUP017"/>
    <s v="Transformer"/>
    <d v="2025-09-26T00:00:00"/>
    <d v="2025-10-04T00:00:00"/>
    <n v="412"/>
    <n v="208"/>
    <n v="85696"/>
    <s v="Cancelled"/>
    <x v="3"/>
  </r>
  <r>
    <s v="PO0089"/>
    <s v="SUP048"/>
    <s v="Circuit Board"/>
    <d v="2026-02-06T00:00:00"/>
    <d v="2026-02-14T00:00:00"/>
    <n v="387"/>
    <n v="78"/>
    <n v="30186"/>
    <s v="Open"/>
    <x v="3"/>
  </r>
  <r>
    <s v="PO0090"/>
    <s v="SUP038"/>
    <s v="Transformer"/>
    <d v="2025-12-02T00:00:00"/>
    <d v="2025-12-14T00:00:00"/>
    <n v="33"/>
    <n v="495"/>
    <n v="16335"/>
    <s v="Cancelled"/>
    <x v="2"/>
  </r>
  <r>
    <s v="PO0091"/>
    <s v="SUP025"/>
    <s v="Copper Wire"/>
    <d v="2025-07-15T00:00:00"/>
    <d v="2025-07-24T00:00:00"/>
    <n v="223"/>
    <n v="386"/>
    <n v="86078"/>
    <s v="Cancelled"/>
    <x v="4"/>
  </r>
  <r>
    <s v="PO0092"/>
    <s v="SUP045"/>
    <s v="Copper Wire"/>
    <d v="2026-04-21T00:00:00"/>
    <d v="2026-05-01T00:00:00"/>
    <n v="445"/>
    <n v="341"/>
    <n v="151745"/>
    <s v="Cancelled"/>
    <x v="5"/>
  </r>
  <r>
    <s v="PO0093"/>
    <s v="SUP050"/>
    <s v="Transformer"/>
    <d v="2026-01-26T00:00:00"/>
    <d v="2026-02-01T00:00:00"/>
    <n v="174"/>
    <n v="455"/>
    <n v="79170"/>
    <s v="Open"/>
    <x v="3"/>
  </r>
  <r>
    <s v="PO0094"/>
    <s v="SUP023"/>
    <s v="Copper Wire"/>
    <d v="2025-12-12T00:00:00"/>
    <d v="2025-12-26T00:00:00"/>
    <n v="292"/>
    <n v="239"/>
    <n v="69788"/>
    <s v="Cancelled"/>
    <x v="3"/>
  </r>
  <r>
    <s v="PO0095"/>
    <s v="SUP042"/>
    <s v="Aluminum Plate"/>
    <d v="2026-01-20T00:00:00"/>
    <d v="2026-02-05T00:00:00"/>
    <n v="194"/>
    <n v="26"/>
    <n v="5044"/>
    <s v="Open"/>
    <x v="2"/>
  </r>
  <r>
    <s v="PO0096"/>
    <s v="SUP028"/>
    <s v="Plastic Sheet"/>
    <d v="2025-09-15T00:00:00"/>
    <d v="2025-10-02T00:00:00"/>
    <n v="205"/>
    <n v="345"/>
    <n v="70725"/>
    <s v="Closed"/>
    <x v="1"/>
  </r>
  <r>
    <s v="PO0097"/>
    <s v="SUP012"/>
    <s v="Transformer"/>
    <d v="2026-06-01T00:00:00"/>
    <d v="2026-06-12T00:00:00"/>
    <n v="395"/>
    <n v="287"/>
    <n v="113365"/>
    <s v="Cancelled"/>
    <x v="1"/>
  </r>
  <r>
    <s v="PO0098"/>
    <s v="SUP050"/>
    <s v="Transformer"/>
    <d v="2026-06-09T00:00:00"/>
    <d v="2026-06-25T00:00:00"/>
    <n v="267"/>
    <n v="258"/>
    <n v="68886"/>
    <s v="Closed"/>
    <x v="3"/>
  </r>
  <r>
    <s v="PO0099"/>
    <s v="SUP021"/>
    <s v="Circuit Board"/>
    <d v="2025-08-09T00:00:00"/>
    <d v="2025-08-14T00:00:00"/>
    <n v="456"/>
    <n v="145"/>
    <n v="66120"/>
    <s v="Closed"/>
    <x v="3"/>
  </r>
  <r>
    <s v="PO0100"/>
    <s v="SUP016"/>
    <s v="Sensor"/>
    <d v="2026-04-03T00:00:00"/>
    <d v="2026-04-18T00:00:00"/>
    <n v="404"/>
    <n v="257"/>
    <n v="103828"/>
    <s v="Open"/>
    <x v="4"/>
  </r>
  <r>
    <s v="PO0101"/>
    <s v="SUP032"/>
    <s v="Aluminum Plate"/>
    <d v="2026-05-28T00:00:00"/>
    <d v="2026-06-05T00:00:00"/>
    <n v="455"/>
    <n v="186"/>
    <n v="84630"/>
    <s v="Open"/>
    <x v="4"/>
  </r>
  <r>
    <s v="PO0102"/>
    <s v="SUP023"/>
    <s v="Circuit Board"/>
    <d v="2026-06-06T00:00:00"/>
    <d v="2026-06-19T00:00:00"/>
    <n v="428"/>
    <n v="152"/>
    <n v="65056"/>
    <s v="Cancelled"/>
    <x v="3"/>
  </r>
  <r>
    <s v="PO0103"/>
    <s v="SUP045"/>
    <s v="Steel Rod"/>
    <d v="2025-09-11T00:00:00"/>
    <d v="2025-10-01T00:00:00"/>
    <n v="470"/>
    <n v="161"/>
    <n v="75670"/>
    <s v="Cancelled"/>
    <x v="5"/>
  </r>
  <r>
    <s v="PO0104"/>
    <s v="SUP013"/>
    <s v="Aluminum Plate"/>
    <d v="2026-05-05T00:00:00"/>
    <d v="2026-05-21T00:00:00"/>
    <n v="63"/>
    <n v="143"/>
    <n v="9009"/>
    <s v="Cancelled"/>
    <x v="0"/>
  </r>
  <r>
    <s v="PO0105"/>
    <s v="SUP049"/>
    <s v="Aluminum Plate"/>
    <d v="2025-07-09T00:00:00"/>
    <d v="2025-07-27T00:00:00"/>
    <n v="143"/>
    <n v="373"/>
    <n v="53339"/>
    <s v="Closed"/>
    <x v="1"/>
  </r>
  <r>
    <s v="PO0106"/>
    <s v="SUP002"/>
    <s v="Bearing"/>
    <d v="2026-02-10T00:00:00"/>
    <d v="2026-02-20T00:00:00"/>
    <n v="67"/>
    <n v="170"/>
    <n v="11390"/>
    <s v="Cancelled"/>
    <x v="4"/>
  </r>
  <r>
    <s v="PO0107"/>
    <s v="SUP016"/>
    <s v="Aluminum Plate"/>
    <d v="2025-11-06T00:00:00"/>
    <d v="2025-11-20T00:00:00"/>
    <n v="176"/>
    <n v="359"/>
    <n v="63184"/>
    <s v="Cancelled"/>
    <x v="4"/>
  </r>
  <r>
    <s v="PO0108"/>
    <s v="SUP034"/>
    <s v="Sensor"/>
    <d v="2026-06-01T00:00:00"/>
    <d v="2026-06-21T00:00:00"/>
    <n v="196"/>
    <n v="237"/>
    <n v="46452"/>
    <s v="Closed"/>
    <x v="0"/>
  </r>
  <r>
    <s v="PO0109"/>
    <s v="SUP045"/>
    <s v="Circuit Board"/>
    <d v="2025-09-02T00:00:00"/>
    <d v="2025-09-14T00:00:00"/>
    <n v="252"/>
    <n v="158"/>
    <n v="39816"/>
    <s v="Open"/>
    <x v="5"/>
  </r>
  <r>
    <s v="PO0110"/>
    <s v="SUP008"/>
    <s v="Copper Wire"/>
    <d v="2026-01-02T00:00:00"/>
    <d v="2026-01-15T00:00:00"/>
    <n v="389"/>
    <n v="118"/>
    <n v="45902"/>
    <s v="Cancelled"/>
    <x v="3"/>
  </r>
  <r>
    <s v="PO0111"/>
    <s v="SUP035"/>
    <s v="Motor"/>
    <d v="2026-02-23T00:00:00"/>
    <d v="2026-03-03T00:00:00"/>
    <n v="410"/>
    <n v="373"/>
    <n v="152930"/>
    <s v="Open"/>
    <x v="4"/>
  </r>
  <r>
    <s v="PO0112"/>
    <s v="SUP048"/>
    <s v="Transformer"/>
    <d v="2026-02-01T00:00:00"/>
    <d v="2026-02-20T00:00:00"/>
    <n v="267"/>
    <n v="161"/>
    <n v="42987"/>
    <s v="Closed"/>
    <x v="3"/>
  </r>
  <r>
    <s v="PO0113"/>
    <s v="SUP007"/>
    <s v="Motor"/>
    <d v="2025-07-01T00:00:00"/>
    <d v="2025-07-13T00:00:00"/>
    <n v="446"/>
    <n v="119"/>
    <n v="53074"/>
    <s v="Closed"/>
    <x v="3"/>
  </r>
  <r>
    <s v="PO0114"/>
    <s v="SUP012"/>
    <s v="Plastic Sheet"/>
    <d v="2025-07-25T00:00:00"/>
    <d v="2025-08-14T00:00:00"/>
    <n v="174"/>
    <n v="27"/>
    <n v="4698"/>
    <s v="Closed"/>
    <x v="1"/>
  </r>
  <r>
    <s v="PO0115"/>
    <s v="SUP003"/>
    <s v="Plastic Sheet"/>
    <d v="2026-04-29T00:00:00"/>
    <d v="2026-05-11T00:00:00"/>
    <n v="47"/>
    <n v="303"/>
    <n v="14241"/>
    <s v="Cancelled"/>
    <x v="0"/>
  </r>
  <r>
    <s v="PO0116"/>
    <s v="SUP049"/>
    <s v="Transformer"/>
    <d v="2026-02-22T00:00:00"/>
    <d v="2026-02-25T00:00:00"/>
    <n v="271"/>
    <n v="72"/>
    <n v="19512"/>
    <s v="Closed"/>
    <x v="1"/>
  </r>
  <r>
    <s v="PO0117"/>
    <s v="SUP031"/>
    <s v="Plastic Sheet"/>
    <d v="2025-07-26T00:00:00"/>
    <d v="2025-08-08T00:00:00"/>
    <n v="265"/>
    <n v="245"/>
    <n v="64925"/>
    <s v="Open"/>
    <x v="4"/>
  </r>
  <r>
    <s v="PO0118"/>
    <s v="SUP017"/>
    <s v="Copper Wire"/>
    <d v="2026-05-21T00:00:00"/>
    <d v="2026-05-27T00:00:00"/>
    <n v="461"/>
    <n v="264"/>
    <n v="121704"/>
    <s v="Closed"/>
    <x v="3"/>
  </r>
  <r>
    <s v="PO0119"/>
    <s v="SUP032"/>
    <s v="Plastic Sheet"/>
    <d v="2025-07-12T00:00:00"/>
    <d v="2025-07-16T00:00:00"/>
    <n v="57"/>
    <n v="315"/>
    <n v="17955"/>
    <s v="Open"/>
    <x v="4"/>
  </r>
  <r>
    <s v="PO0120"/>
    <s v="SUP037"/>
    <s v="Copper Wire"/>
    <d v="2026-04-15T00:00:00"/>
    <d v="2026-04-25T00:00:00"/>
    <n v="175"/>
    <n v="63"/>
    <n v="11025"/>
    <s v="Cancelled"/>
    <x v="0"/>
  </r>
  <r>
    <s v="PO0121"/>
    <s v="SUP049"/>
    <s v="Rubber Seal"/>
    <d v="2025-10-28T00:00:00"/>
    <d v="2025-11-07T00:00:00"/>
    <n v="233"/>
    <n v="330"/>
    <n v="76890"/>
    <s v="Closed"/>
    <x v="1"/>
  </r>
  <r>
    <s v="PO0122"/>
    <s v="SUP029"/>
    <s v="Transformer"/>
    <d v="2025-10-05T00:00:00"/>
    <d v="2025-10-17T00:00:00"/>
    <n v="485"/>
    <n v="246"/>
    <n v="119310"/>
    <s v="Closed"/>
    <x v="0"/>
  </r>
  <r>
    <s v="PO0123"/>
    <s v="SUP020"/>
    <s v="Transformer"/>
    <d v="2025-08-02T00:00:00"/>
    <d v="2025-08-06T00:00:00"/>
    <n v="311"/>
    <n v="337"/>
    <n v="104807"/>
    <s v="Cancelled"/>
    <x v="4"/>
  </r>
  <r>
    <s v="PO0124"/>
    <s v="SUP007"/>
    <s v="Circuit Board"/>
    <d v="2026-05-29T00:00:00"/>
    <d v="2026-06-07T00:00:00"/>
    <n v="410"/>
    <n v="126"/>
    <n v="51660"/>
    <s v="Cancelled"/>
    <x v="3"/>
  </r>
  <r>
    <s v="PO0125"/>
    <s v="SUP006"/>
    <s v="Rubber Seal"/>
    <d v="2026-04-13T00:00:00"/>
    <d v="2026-04-21T00:00:00"/>
    <n v="100"/>
    <n v="142"/>
    <n v="14200"/>
    <s v="Open"/>
    <x v="3"/>
  </r>
  <r>
    <s v="PO0126"/>
    <s v="SUP011"/>
    <s v="Transformer"/>
    <d v="2025-09-13T00:00:00"/>
    <d v="2025-09-30T00:00:00"/>
    <n v="21"/>
    <n v="229"/>
    <n v="4809"/>
    <s v="Closed"/>
    <x v="4"/>
  </r>
  <r>
    <s v="PO0127"/>
    <s v="SUP019"/>
    <s v="Circuit Board"/>
    <d v="2025-07-26T00:00:00"/>
    <d v="2025-08-07T00:00:00"/>
    <n v="36"/>
    <n v="138"/>
    <n v="4968"/>
    <s v="Cancelled"/>
    <x v="3"/>
  </r>
  <r>
    <s v="PO0128"/>
    <s v="SUP030"/>
    <s v="Circuit Board"/>
    <d v="2026-04-29T00:00:00"/>
    <d v="2026-05-09T00:00:00"/>
    <n v="56"/>
    <n v="371"/>
    <n v="20776"/>
    <s v="Cancelled"/>
    <x v="0"/>
  </r>
  <r>
    <s v="PO0129"/>
    <s v="SUP038"/>
    <s v="Bearing"/>
    <d v="2025-11-22T00:00:00"/>
    <d v="2025-12-01T00:00:00"/>
    <n v="358"/>
    <n v="431"/>
    <n v="154298"/>
    <s v="Open"/>
    <x v="2"/>
  </r>
  <r>
    <s v="PO0130"/>
    <s v="SUP035"/>
    <s v="Circuit Board"/>
    <d v="2026-05-02T00:00:00"/>
    <d v="2026-05-09T00:00:00"/>
    <n v="135"/>
    <n v="351"/>
    <n v="47385"/>
    <s v="Open"/>
    <x v="4"/>
  </r>
  <r>
    <s v="PO0131"/>
    <s v="SUP005"/>
    <s v="Transformer"/>
    <d v="2025-08-22T00:00:00"/>
    <d v="2025-09-03T00:00:00"/>
    <n v="50"/>
    <n v="104"/>
    <n v="5200"/>
    <s v="Cancelled"/>
    <x v="0"/>
  </r>
  <r>
    <s v="PO0132"/>
    <s v="SUP037"/>
    <s v="Copper Wire"/>
    <d v="2025-10-20T00:00:00"/>
    <d v="2025-11-06T00:00:00"/>
    <n v="491"/>
    <n v="167"/>
    <n v="81997"/>
    <s v="Closed"/>
    <x v="0"/>
  </r>
  <r>
    <s v="PO0133"/>
    <s v="SUP045"/>
    <s v="Circuit Board"/>
    <d v="2026-05-28T00:00:00"/>
    <d v="2026-06-12T00:00:00"/>
    <n v="175"/>
    <n v="378"/>
    <n v="66150"/>
    <s v="Cancelled"/>
    <x v="5"/>
  </r>
  <r>
    <s v="PO0134"/>
    <s v="SUP035"/>
    <s v="Transformer"/>
    <d v="2025-07-30T00:00:00"/>
    <d v="2025-08-04T00:00:00"/>
    <n v="272"/>
    <n v="244"/>
    <n v="66368"/>
    <s v="Open"/>
    <x v="4"/>
  </r>
  <r>
    <s v="PO0135"/>
    <s v="SUP028"/>
    <s v="Steel Rod"/>
    <d v="2026-01-02T00:00:00"/>
    <d v="2026-01-13T00:00:00"/>
    <n v="396"/>
    <n v="185"/>
    <n v="73260"/>
    <s v="Open"/>
    <x v="1"/>
  </r>
  <r>
    <s v="PO0136"/>
    <s v="SUP015"/>
    <s v="Circuit Board"/>
    <d v="2026-01-23T00:00:00"/>
    <d v="2026-01-26T00:00:00"/>
    <n v="365"/>
    <n v="448"/>
    <n v="163520"/>
    <s v="Cancelled"/>
    <x v="3"/>
  </r>
  <r>
    <s v="PO0137"/>
    <s v="SUP003"/>
    <s v="Aluminum Plate"/>
    <d v="2025-07-20T00:00:00"/>
    <d v="2025-07-28T00:00:00"/>
    <n v="410"/>
    <n v="407"/>
    <n v="166870"/>
    <s v="Cancelled"/>
    <x v="0"/>
  </r>
  <r>
    <s v="PO0138"/>
    <s v="SUP042"/>
    <s v="Plastic Sheet"/>
    <d v="2026-06-17T00:00:00"/>
    <d v="2026-06-28T00:00:00"/>
    <n v="246"/>
    <n v="489"/>
    <n v="120294"/>
    <s v="Cancelled"/>
    <x v="2"/>
  </r>
  <r>
    <s v="PO0139"/>
    <s v="SUP028"/>
    <s v="Copper Wire"/>
    <d v="2025-11-03T00:00:00"/>
    <d v="2025-11-21T00:00:00"/>
    <n v="345"/>
    <n v="436"/>
    <n v="150420"/>
    <s v="Closed"/>
    <x v="1"/>
  </r>
  <r>
    <s v="PO0140"/>
    <s v="SUP023"/>
    <s v="Copper Wire"/>
    <d v="2026-06-25T00:00:00"/>
    <d v="2026-07-08T00:00:00"/>
    <n v="229"/>
    <n v="190"/>
    <n v="43510"/>
    <s v="Open"/>
    <x v="3"/>
  </r>
  <r>
    <s v="PO0141"/>
    <s v="SUP022"/>
    <s v="Circuit Board"/>
    <d v="2026-03-04T00:00:00"/>
    <d v="2026-03-22T00:00:00"/>
    <n v="230"/>
    <n v="375"/>
    <n v="86250"/>
    <s v="Cancelled"/>
    <x v="2"/>
  </r>
  <r>
    <s v="PO0142"/>
    <s v="SUP026"/>
    <s v="Steel Rod"/>
    <d v="2026-01-03T00:00:00"/>
    <d v="2026-01-23T00:00:00"/>
    <n v="436"/>
    <n v="409"/>
    <n v="178324"/>
    <s v="Closed"/>
    <x v="2"/>
  </r>
  <r>
    <s v="PO0143"/>
    <s v="SUP006"/>
    <s v="Copper Wire"/>
    <d v="2026-06-24T00:00:00"/>
    <d v="2026-07-07T00:00:00"/>
    <n v="181"/>
    <n v="149"/>
    <n v="26969"/>
    <s v="Closed"/>
    <x v="3"/>
  </r>
  <r>
    <s v="PO0144"/>
    <s v="SUP033"/>
    <s v="Aluminum Plate"/>
    <d v="2026-06-25T00:00:00"/>
    <d v="2026-07-15T00:00:00"/>
    <n v="442"/>
    <n v="20"/>
    <n v="8840"/>
    <s v="Closed"/>
    <x v="3"/>
  </r>
  <r>
    <s v="PO0145"/>
    <s v="SUP004"/>
    <s v="Transformer"/>
    <d v="2025-11-28T00:00:00"/>
    <d v="2025-12-12T00:00:00"/>
    <n v="116"/>
    <n v="285"/>
    <n v="33060"/>
    <s v="Closed"/>
    <x v="3"/>
  </r>
  <r>
    <s v="PO0146"/>
    <s v="SUP041"/>
    <s v="Motor"/>
    <d v="2025-11-22T00:00:00"/>
    <d v="2025-11-26T00:00:00"/>
    <n v="246"/>
    <n v="409"/>
    <n v="100614"/>
    <s v="Closed"/>
    <x v="4"/>
  </r>
  <r>
    <s v="PO0147"/>
    <s v="SUP036"/>
    <s v="Aluminum Plate"/>
    <d v="2025-07-05T00:00:00"/>
    <d v="2025-07-17T00:00:00"/>
    <n v="87"/>
    <n v="494"/>
    <n v="42978"/>
    <s v="Cancelled"/>
    <x v="3"/>
  </r>
  <r>
    <s v="PO0148"/>
    <s v="SUP032"/>
    <s v="Plastic Sheet"/>
    <d v="2026-05-30T00:00:00"/>
    <d v="2026-06-09T00:00:00"/>
    <n v="82"/>
    <n v="34"/>
    <n v="2788"/>
    <s v="Closed"/>
    <x v="4"/>
  </r>
  <r>
    <s v="PO0149"/>
    <s v="SUP036"/>
    <s v="Copper Wire"/>
    <d v="2026-01-25T00:00:00"/>
    <d v="2026-02-10T00:00:00"/>
    <n v="27"/>
    <n v="302"/>
    <n v="8154"/>
    <s v="Open"/>
    <x v="3"/>
  </r>
  <r>
    <s v="PO0150"/>
    <s v="SUP008"/>
    <s v="Aluminum Plate"/>
    <d v="2026-01-28T00:00:00"/>
    <d v="2026-02-04T00:00:00"/>
    <n v="256"/>
    <n v="80"/>
    <n v="20480"/>
    <s v="Cancelled"/>
    <x v="3"/>
  </r>
  <r>
    <s v="PO0151"/>
    <s v="SUP019"/>
    <s v="Bearing"/>
    <d v="2026-01-10T00:00:00"/>
    <d v="2026-01-21T00:00:00"/>
    <n v="280"/>
    <n v="381"/>
    <n v="106680"/>
    <s v="Closed"/>
    <x v="3"/>
  </r>
  <r>
    <s v="PO0152"/>
    <s v="SUP031"/>
    <s v="Plastic Sheet"/>
    <d v="2025-08-20T00:00:00"/>
    <d v="2025-09-09T00:00:00"/>
    <n v="144"/>
    <n v="253"/>
    <n v="36432"/>
    <s v="Closed"/>
    <x v="4"/>
  </r>
  <r>
    <s v="PO0153"/>
    <s v="SUP013"/>
    <s v="Plastic Sheet"/>
    <d v="2025-08-20T00:00:00"/>
    <d v="2025-09-08T00:00:00"/>
    <n v="491"/>
    <n v="326"/>
    <n v="160066"/>
    <s v="Open"/>
    <x v="0"/>
  </r>
  <r>
    <s v="PO0154"/>
    <s v="SUP018"/>
    <s v="Sensor"/>
    <d v="2026-06-16T00:00:00"/>
    <d v="2026-07-02T00:00:00"/>
    <n v="415"/>
    <n v="424"/>
    <n v="175960"/>
    <s v="Cancelled"/>
    <x v="0"/>
  </r>
  <r>
    <s v="PO0155"/>
    <s v="SUP018"/>
    <s v="Circuit Board"/>
    <d v="2026-01-07T00:00:00"/>
    <d v="2026-01-19T00:00:00"/>
    <n v="440"/>
    <n v="21"/>
    <n v="9240"/>
    <s v="Cancelled"/>
    <x v="0"/>
  </r>
  <r>
    <s v="PO0156"/>
    <s v="SUP038"/>
    <s v="Aluminum Plate"/>
    <d v="2026-05-02T00:00:00"/>
    <d v="2026-05-09T00:00:00"/>
    <n v="357"/>
    <n v="270"/>
    <n v="96390"/>
    <s v="Cancelled"/>
    <x v="2"/>
  </r>
  <r>
    <s v="PO0157"/>
    <s v="SUP031"/>
    <s v="Rubber Seal"/>
    <d v="2026-01-12T00:00:00"/>
    <d v="2026-02-01T00:00:00"/>
    <n v="196"/>
    <n v="190"/>
    <n v="37240"/>
    <s v="Closed"/>
    <x v="4"/>
  </r>
  <r>
    <s v="PO0158"/>
    <s v="SUP030"/>
    <s v="Motor"/>
    <d v="2025-11-18T00:00:00"/>
    <d v="2025-11-27T00:00:00"/>
    <n v="497"/>
    <n v="184"/>
    <n v="91448"/>
    <s v="Cancelled"/>
    <x v="0"/>
  </r>
  <r>
    <s v="PO0159"/>
    <s v="SUP025"/>
    <s v="Steel Rod"/>
    <d v="2025-09-14T00:00:00"/>
    <d v="2025-09-30T00:00:00"/>
    <n v="139"/>
    <n v="458"/>
    <n v="63662"/>
    <s v="Closed"/>
    <x v="4"/>
  </r>
  <r>
    <s v="PO0160"/>
    <s v="SUP048"/>
    <s v="Bearing"/>
    <d v="2026-01-23T00:00:00"/>
    <d v="2026-02-07T00:00:00"/>
    <n v="262"/>
    <n v="381"/>
    <n v="99822"/>
    <s v="Cancelled"/>
    <x v="3"/>
  </r>
  <r>
    <s v="PO0161"/>
    <s v="SUP042"/>
    <s v="Plastic Sheet"/>
    <d v="2025-09-01T00:00:00"/>
    <d v="2025-09-05T00:00:00"/>
    <n v="97"/>
    <n v="273"/>
    <n v="26481"/>
    <s v="Cancelled"/>
    <x v="2"/>
  </r>
  <r>
    <s v="PO0162"/>
    <s v="SUP038"/>
    <s v="Aluminum Plate"/>
    <d v="2025-07-13T00:00:00"/>
    <d v="2025-07-19T00:00:00"/>
    <n v="189"/>
    <n v="465"/>
    <n v="87885"/>
    <s v="Open"/>
    <x v="2"/>
  </r>
  <r>
    <s v="PO0163"/>
    <s v="SUP034"/>
    <s v="Plastic Sheet"/>
    <d v="2025-09-26T00:00:00"/>
    <d v="2025-09-29T00:00:00"/>
    <n v="486"/>
    <n v="253"/>
    <n v="122958"/>
    <s v="Closed"/>
    <x v="0"/>
  </r>
  <r>
    <s v="PO0164"/>
    <s v="SUP042"/>
    <s v="Circuit Board"/>
    <d v="2025-12-28T00:00:00"/>
    <d v="2026-01-15T00:00:00"/>
    <n v="99"/>
    <n v="58"/>
    <n v="5742"/>
    <s v="Closed"/>
    <x v="2"/>
  </r>
  <r>
    <s v="PO0165"/>
    <s v="SUP040"/>
    <s v="Sensor"/>
    <d v="2025-12-16T00:00:00"/>
    <d v="2025-12-21T00:00:00"/>
    <n v="374"/>
    <n v="223"/>
    <n v="83402"/>
    <s v="Cancelled"/>
    <x v="1"/>
  </r>
  <r>
    <s v="PO0166"/>
    <s v="SUP035"/>
    <s v="Rubber Seal"/>
    <d v="2025-10-26T00:00:00"/>
    <d v="2025-11-13T00:00:00"/>
    <n v="214"/>
    <n v="182"/>
    <n v="38948"/>
    <s v="Open"/>
    <x v="4"/>
  </r>
  <r>
    <s v="PO0167"/>
    <s v="SUP040"/>
    <s v="Motor"/>
    <d v="2026-02-25T00:00:00"/>
    <d v="2026-03-09T00:00:00"/>
    <n v="55"/>
    <n v="140"/>
    <n v="7700"/>
    <s v="Cancelled"/>
    <x v="1"/>
  </r>
  <r>
    <s v="PO0168"/>
    <s v="SUP006"/>
    <s v="Aluminum Plate"/>
    <d v="2025-11-30T00:00:00"/>
    <d v="2025-12-06T00:00:00"/>
    <n v="242"/>
    <n v="70"/>
    <n v="16940"/>
    <s v="Open"/>
    <x v="3"/>
  </r>
  <r>
    <s v="PO0169"/>
    <s v="SUP045"/>
    <s v="Steel Rod"/>
    <d v="2025-07-16T00:00:00"/>
    <d v="2025-07-19T00:00:00"/>
    <n v="173"/>
    <n v="482"/>
    <n v="83386"/>
    <s v="Closed"/>
    <x v="5"/>
  </r>
  <r>
    <s v="PO0170"/>
    <s v="SUP004"/>
    <s v="Bearing"/>
    <d v="2026-01-19T00:00:00"/>
    <d v="2026-02-02T00:00:00"/>
    <n v="170"/>
    <n v="203"/>
    <n v="34510"/>
    <s v="Open"/>
    <x v="3"/>
  </r>
  <r>
    <s v="PO0171"/>
    <s v="SUP016"/>
    <s v="Plastic Sheet"/>
    <d v="2026-06-06T00:00:00"/>
    <d v="2026-06-14T00:00:00"/>
    <n v="291"/>
    <n v="230"/>
    <n v="66930"/>
    <s v="Open"/>
    <x v="4"/>
  </r>
  <r>
    <s v="PO0172"/>
    <s v="SUP006"/>
    <s v="Transformer"/>
    <d v="2025-08-31T00:00:00"/>
    <d v="2025-09-15T00:00:00"/>
    <n v="332"/>
    <n v="465"/>
    <n v="154380"/>
    <s v="Cancelled"/>
    <x v="3"/>
  </r>
  <r>
    <s v="PO0173"/>
    <s v="SUP016"/>
    <s v="Motor"/>
    <d v="2026-05-30T00:00:00"/>
    <d v="2026-06-06T00:00:00"/>
    <n v="274"/>
    <n v="487"/>
    <n v="133438"/>
    <s v="Closed"/>
    <x v="4"/>
  </r>
  <r>
    <s v="PO0174"/>
    <s v="SUP041"/>
    <s v="Steel Rod"/>
    <d v="2025-07-26T00:00:00"/>
    <d v="2025-08-06T00:00:00"/>
    <n v="150"/>
    <n v="255"/>
    <n v="38250"/>
    <s v="Closed"/>
    <x v="4"/>
  </r>
  <r>
    <s v="PO0175"/>
    <s v="SUP019"/>
    <s v="Copper Wire"/>
    <d v="2025-07-14T00:00:00"/>
    <d v="2025-07-22T00:00:00"/>
    <n v="366"/>
    <n v="299"/>
    <n v="109434"/>
    <s v="Closed"/>
    <x v="3"/>
  </r>
  <r>
    <s v="PO0176"/>
    <s v="SUP023"/>
    <s v="Circuit Board"/>
    <d v="2026-01-07T00:00:00"/>
    <d v="2026-01-23T00:00:00"/>
    <n v="320"/>
    <n v="173"/>
    <n v="55360"/>
    <s v="Closed"/>
    <x v="3"/>
  </r>
  <r>
    <s v="PO0177"/>
    <s v="SUP020"/>
    <s v="Copper Wire"/>
    <d v="2026-01-16T00:00:00"/>
    <d v="2026-02-03T00:00:00"/>
    <n v="121"/>
    <n v="216"/>
    <n v="26136"/>
    <s v="Open"/>
    <x v="4"/>
  </r>
  <r>
    <s v="PO0178"/>
    <s v="SUP025"/>
    <s v="Circuit Board"/>
    <d v="2026-02-13T00:00:00"/>
    <d v="2026-02-25T00:00:00"/>
    <n v="312"/>
    <n v="203"/>
    <n v="63336"/>
    <s v="Open"/>
    <x v="4"/>
  </r>
  <r>
    <s v="PO0179"/>
    <s v="SUP043"/>
    <s v="Transformer"/>
    <d v="2025-12-11T00:00:00"/>
    <d v="2025-12-14T00:00:00"/>
    <n v="222"/>
    <n v="160"/>
    <n v="35520"/>
    <s v="Cancelled"/>
    <x v="3"/>
  </r>
  <r>
    <s v="PO0180"/>
    <s v="SUP050"/>
    <s v="Circuit Board"/>
    <d v="2025-07-26T00:00:00"/>
    <d v="2025-08-13T00:00:00"/>
    <n v="401"/>
    <n v="45"/>
    <n v="18045"/>
    <s v="Open"/>
    <x v="3"/>
  </r>
  <r>
    <s v="PO0181"/>
    <s v="SUP039"/>
    <s v="Motor"/>
    <d v="2026-05-20T00:00:00"/>
    <d v="2026-05-30T00:00:00"/>
    <n v="430"/>
    <n v="200"/>
    <n v="86000"/>
    <s v="Cancelled"/>
    <x v="0"/>
  </r>
  <r>
    <s v="PO0182"/>
    <s v="SUP017"/>
    <s v="Copper Wire"/>
    <d v="2026-03-27T00:00:00"/>
    <d v="2026-04-03T00:00:00"/>
    <n v="367"/>
    <n v="406"/>
    <n v="149002"/>
    <s v="Cancelled"/>
    <x v="3"/>
  </r>
  <r>
    <s v="PO0183"/>
    <s v="SUP042"/>
    <s v="Steel Rod"/>
    <d v="2026-04-18T00:00:00"/>
    <d v="2026-05-05T00:00:00"/>
    <n v="40"/>
    <n v="178"/>
    <n v="7120"/>
    <s v="Cancelled"/>
    <x v="2"/>
  </r>
  <r>
    <s v="PO0184"/>
    <s v="SUP024"/>
    <s v="Circuit Board"/>
    <d v="2025-08-16T00:00:00"/>
    <d v="2025-08-21T00:00:00"/>
    <n v="394"/>
    <n v="87"/>
    <n v="34278"/>
    <s v="Closed"/>
    <x v="3"/>
  </r>
  <r>
    <s v="PO0185"/>
    <s v="SUP048"/>
    <s v="Plastic Sheet"/>
    <d v="2026-06-05T00:00:00"/>
    <d v="2026-06-14T00:00:00"/>
    <n v="232"/>
    <n v="109"/>
    <n v="25288"/>
    <s v="Cancelled"/>
    <x v="3"/>
  </r>
  <r>
    <s v="PO0186"/>
    <s v="SUP024"/>
    <s v="Plastic Sheet"/>
    <d v="2025-10-09T00:00:00"/>
    <d v="2025-10-20T00:00:00"/>
    <n v="291"/>
    <n v="276"/>
    <n v="80316"/>
    <s v="Closed"/>
    <x v="3"/>
  </r>
  <r>
    <s v="PO0187"/>
    <s v="SUP031"/>
    <s v="Copper Wire"/>
    <d v="2025-09-05T00:00:00"/>
    <d v="2025-09-18T00:00:00"/>
    <n v="432"/>
    <n v="171"/>
    <n v="73872"/>
    <s v="Closed"/>
    <x v="4"/>
  </r>
  <r>
    <s v="PO0188"/>
    <s v="SUP005"/>
    <s v="Bearing"/>
    <d v="2026-05-26T00:00:00"/>
    <d v="2026-06-05T00:00:00"/>
    <n v="92"/>
    <n v="406"/>
    <n v="37352"/>
    <s v="Cancelled"/>
    <x v="0"/>
  </r>
  <r>
    <s v="PO0189"/>
    <s v="SUP024"/>
    <s v="Steel Rod"/>
    <d v="2026-04-22T00:00:00"/>
    <d v="2026-05-07T00:00:00"/>
    <n v="66"/>
    <n v="424"/>
    <n v="27984"/>
    <s v="Closed"/>
    <x v="3"/>
  </r>
  <r>
    <s v="PO0190"/>
    <s v="SUP035"/>
    <s v="Circuit Board"/>
    <d v="2025-07-31T00:00:00"/>
    <d v="2025-08-14T00:00:00"/>
    <n v="83"/>
    <n v="252"/>
    <n v="20916"/>
    <s v="Cancelled"/>
    <x v="4"/>
  </r>
  <r>
    <s v="PO0191"/>
    <s v="SUP025"/>
    <s v="Copper Wire"/>
    <d v="2026-03-20T00:00:00"/>
    <d v="2026-04-03T00:00:00"/>
    <n v="441"/>
    <n v="346"/>
    <n v="152586"/>
    <s v="Cancelled"/>
    <x v="4"/>
  </r>
  <r>
    <s v="PO0192"/>
    <s v="SUP015"/>
    <s v="Sensor"/>
    <d v="2025-12-29T00:00:00"/>
    <d v="2026-01-18T00:00:00"/>
    <n v="261"/>
    <n v="32"/>
    <n v="8352"/>
    <s v="Cancelled"/>
    <x v="3"/>
  </r>
  <r>
    <s v="PO0193"/>
    <s v="SUP015"/>
    <s v="Circuit Board"/>
    <d v="2025-11-21T00:00:00"/>
    <d v="2025-12-08T00:00:00"/>
    <n v="351"/>
    <n v="52"/>
    <n v="18252"/>
    <s v="Cancelled"/>
    <x v="3"/>
  </r>
  <r>
    <s v="PO0194"/>
    <s v="SUP027"/>
    <s v="Steel Rod"/>
    <d v="2025-12-27T00:00:00"/>
    <d v="2025-12-31T00:00:00"/>
    <n v="79"/>
    <n v="91"/>
    <n v="7189"/>
    <s v="Closed"/>
    <x v="0"/>
  </r>
  <r>
    <s v="PO0195"/>
    <s v="SUP032"/>
    <s v="Rubber Seal"/>
    <d v="2025-12-08T00:00:00"/>
    <d v="2025-12-18T00:00:00"/>
    <n v="79"/>
    <n v="69"/>
    <n v="5451"/>
    <s v="Open"/>
    <x v="4"/>
  </r>
  <r>
    <s v="PO0196"/>
    <s v="SUP025"/>
    <s v="Bearing"/>
    <d v="2025-08-31T00:00:00"/>
    <d v="2025-09-20T00:00:00"/>
    <n v="252"/>
    <n v="209"/>
    <n v="52668"/>
    <s v="Cancelled"/>
    <x v="4"/>
  </r>
  <r>
    <s v="PO0197"/>
    <s v="SUP048"/>
    <s v="Copper Wire"/>
    <d v="2025-10-05T00:00:00"/>
    <d v="2025-10-21T00:00:00"/>
    <n v="392"/>
    <n v="99"/>
    <n v="38808"/>
    <s v="Closed"/>
    <x v="3"/>
  </r>
  <r>
    <s v="PO0198"/>
    <s v="SUP040"/>
    <s v="Steel Rod"/>
    <d v="2025-09-19T00:00:00"/>
    <d v="2025-09-30T00:00:00"/>
    <n v="228"/>
    <n v="500"/>
    <n v="114000"/>
    <s v="Cancelled"/>
    <x v="1"/>
  </r>
  <r>
    <s v="PO0199"/>
    <s v="SUP024"/>
    <s v="Motor"/>
    <d v="2026-03-12T00:00:00"/>
    <d v="2026-03-29T00:00:00"/>
    <n v="131"/>
    <n v="247"/>
    <n v="32357"/>
    <s v="Closed"/>
    <x v="3"/>
  </r>
  <r>
    <s v="PO0200"/>
    <s v="SUP007"/>
    <s v="Sensor"/>
    <d v="2025-10-04T00:00:00"/>
    <d v="2025-10-24T00:00:00"/>
    <n v="371"/>
    <n v="208"/>
    <n v="77168"/>
    <s v="Open"/>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4B3B5C-736C-4B8B-B068-7F2889D7D369}"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B17:AC23" firstHeaderRow="1" firstDataRow="1" firstDataCol="1"/>
  <pivotFields count="7">
    <pivotField showAll="0"/>
    <pivotField showAll="0">
      <items count="11">
        <item x="8"/>
        <item x="6"/>
        <item x="4"/>
        <item x="5"/>
        <item x="9"/>
        <item x="7"/>
        <item x="0"/>
        <item x="1"/>
        <item x="3"/>
        <item x="2"/>
        <item t="default"/>
      </items>
    </pivotField>
    <pivotField axis="axisRow" showAll="0">
      <items count="6">
        <item x="1"/>
        <item x="2"/>
        <item x="4"/>
        <item x="3"/>
        <item x="0"/>
        <item t="default"/>
      </items>
    </pivotField>
    <pivotField showAll="0"/>
    <pivotField showAll="0"/>
    <pivotField dataField="1" showAll="0"/>
    <pivotField showAll="0"/>
  </pivotFields>
  <rowFields count="1">
    <field x="2"/>
  </rowFields>
  <rowItems count="6">
    <i>
      <x/>
    </i>
    <i>
      <x v="1"/>
    </i>
    <i>
      <x v="2"/>
    </i>
    <i>
      <x v="3"/>
    </i>
    <i>
      <x v="4"/>
    </i>
    <i t="grand">
      <x/>
    </i>
  </rowItems>
  <colItems count="1">
    <i/>
  </colItems>
  <dataFields count="1">
    <dataField name="Sum of Inventory_Value" fld="5" showDataAs="percentOfTotal" baseField="0" baseItem="0" numFmtId="10"/>
  </dataFields>
  <chartFormats count="7">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2" count="1" selected="0">
            <x v="0"/>
          </reference>
        </references>
      </pivotArea>
    </chartFormat>
    <chartFormat chart="6" format="9">
      <pivotArea type="data" outline="0" fieldPosition="0">
        <references count="2">
          <reference field="4294967294" count="1" selected="0">
            <x v="0"/>
          </reference>
          <reference field="2" count="1" selected="0">
            <x v="1"/>
          </reference>
        </references>
      </pivotArea>
    </chartFormat>
    <chartFormat chart="6" format="10">
      <pivotArea type="data" outline="0" fieldPosition="0">
        <references count="2">
          <reference field="4294967294" count="1" selected="0">
            <x v="0"/>
          </reference>
          <reference field="2" count="1" selected="0">
            <x v="2"/>
          </reference>
        </references>
      </pivotArea>
    </chartFormat>
    <chartFormat chart="6" format="11">
      <pivotArea type="data" outline="0" fieldPosition="0">
        <references count="2">
          <reference field="4294967294" count="1" selected="0">
            <x v="0"/>
          </reference>
          <reference field="2" count="1" selected="0">
            <x v="3"/>
          </reference>
        </references>
      </pivotArea>
    </chartFormat>
    <chartFormat chart="6"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BC1D09-29D0-4B67-AD64-1498D36A3D12}"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Y17:Z24" firstHeaderRow="1" firstDataRow="1" firstDataCol="1"/>
  <pivotFields count="10">
    <pivotField showAll="0"/>
    <pivotField showAll="0"/>
    <pivotField showAll="0"/>
    <pivotField numFmtId="22" showAll="0"/>
    <pivotField numFmtId="22" showAll="0"/>
    <pivotField showAll="0"/>
    <pivotField showAll="0"/>
    <pivotField dataField="1" showAll="0"/>
    <pivotField showAll="0"/>
    <pivotField axis="axisRow" showAll="0">
      <items count="7">
        <item x="0"/>
        <item x="1"/>
        <item x="3"/>
        <item x="2"/>
        <item x="4"/>
        <item x="5"/>
        <item t="default"/>
      </items>
    </pivotField>
  </pivotFields>
  <rowFields count="1">
    <field x="9"/>
  </rowFields>
  <rowItems count="7">
    <i>
      <x/>
    </i>
    <i>
      <x v="1"/>
    </i>
    <i>
      <x v="2"/>
    </i>
    <i>
      <x v="3"/>
    </i>
    <i>
      <x v="4"/>
    </i>
    <i>
      <x v="5"/>
    </i>
    <i t="grand">
      <x/>
    </i>
  </rowItems>
  <colItems count="1">
    <i/>
  </colItems>
  <dataFields count="1">
    <dataField name="Sum of PO_Amount" fld="7"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9" count="1" selected="0">
            <x v="0"/>
          </reference>
        </references>
      </pivotArea>
    </chartFormat>
    <chartFormat chart="6" format="10">
      <pivotArea type="data" outline="0" fieldPosition="0">
        <references count="2">
          <reference field="4294967294" count="1" selected="0">
            <x v="0"/>
          </reference>
          <reference field="9" count="1" selected="0">
            <x v="1"/>
          </reference>
        </references>
      </pivotArea>
    </chartFormat>
    <chartFormat chart="6" format="11">
      <pivotArea type="data" outline="0" fieldPosition="0">
        <references count="2">
          <reference field="4294967294" count="1" selected="0">
            <x v="0"/>
          </reference>
          <reference field="9" count="1" selected="0">
            <x v="2"/>
          </reference>
        </references>
      </pivotArea>
    </chartFormat>
    <chartFormat chart="6" format="12">
      <pivotArea type="data" outline="0" fieldPosition="0">
        <references count="2">
          <reference field="4294967294" count="1" selected="0">
            <x v="0"/>
          </reference>
          <reference field="9" count="1" selected="0">
            <x v="3"/>
          </reference>
        </references>
      </pivotArea>
    </chartFormat>
    <chartFormat chart="6" format="13">
      <pivotArea type="data" outline="0" fieldPosition="0">
        <references count="2">
          <reference field="4294967294" count="1" selected="0">
            <x v="0"/>
          </reference>
          <reference field="9" count="1" selected="0">
            <x v="4"/>
          </reference>
        </references>
      </pivotArea>
    </chartFormat>
    <chartFormat chart="6" format="14">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54903B-440D-4EA5-B7ED-F787041116DA}" name="Warehouse_Inventory"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7:W24" firstHeaderRow="1" firstDataRow="2" firstDataCol="1"/>
  <pivotFields count="7">
    <pivotField showAll="0"/>
    <pivotField axis="axisCol" showAll="0">
      <items count="11">
        <item x="8"/>
        <item x="6"/>
        <item x="4"/>
        <item x="5"/>
        <item x="9"/>
        <item x="7"/>
        <item x="0"/>
        <item x="1"/>
        <item x="3"/>
        <item x="2"/>
        <item t="default"/>
      </items>
    </pivotField>
    <pivotField axis="axisRow" showAll="0">
      <items count="6">
        <item x="1"/>
        <item x="2"/>
        <item x="4"/>
        <item x="3"/>
        <item x="0"/>
        <item t="default"/>
      </items>
    </pivotField>
    <pivotField dataField="1" showAll="0"/>
    <pivotField showAll="0"/>
    <pivotField showAll="0"/>
    <pivotField showAll="0"/>
  </pivotFields>
  <rowFields count="1">
    <field x="2"/>
  </rowFields>
  <rowItems count="6">
    <i>
      <x/>
    </i>
    <i>
      <x v="1"/>
    </i>
    <i>
      <x v="2"/>
    </i>
    <i>
      <x v="3"/>
    </i>
    <i>
      <x v="4"/>
    </i>
    <i t="grand">
      <x/>
    </i>
  </rowItems>
  <colFields count="1">
    <field x="1"/>
  </colFields>
  <colItems count="11">
    <i>
      <x/>
    </i>
    <i>
      <x v="1"/>
    </i>
    <i>
      <x v="2"/>
    </i>
    <i>
      <x v="3"/>
    </i>
    <i>
      <x v="4"/>
    </i>
    <i>
      <x v="5"/>
    </i>
    <i>
      <x v="6"/>
    </i>
    <i>
      <x v="7"/>
    </i>
    <i>
      <x v="8"/>
    </i>
    <i>
      <x v="9"/>
    </i>
    <i t="grand">
      <x/>
    </i>
  </colItems>
  <dataFields count="1">
    <dataField name="Sum of Stock"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AAC3A2-A4F3-4FFD-8A97-CAD41F58D799}" name="Material_Purchase"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7:J28" firstHeaderRow="0" firstDataRow="1" firstDataCol="1"/>
  <pivotFields count="12">
    <pivotField showAll="0"/>
    <pivotField showAll="0">
      <items count="49">
        <item x="23"/>
        <item x="41"/>
        <item x="25"/>
        <item x="22"/>
        <item x="13"/>
        <item x="38"/>
        <item x="5"/>
        <item x="19"/>
        <item x="34"/>
        <item x="39"/>
        <item x="29"/>
        <item x="27"/>
        <item x="1"/>
        <item x="14"/>
        <item x="30"/>
        <item x="36"/>
        <item x="15"/>
        <item x="4"/>
        <item x="20"/>
        <item x="17"/>
        <item x="31"/>
        <item x="28"/>
        <item x="45"/>
        <item x="16"/>
        <item x="8"/>
        <item x="3"/>
        <item x="2"/>
        <item x="9"/>
        <item x="35"/>
        <item x="37"/>
        <item x="7"/>
        <item x="40"/>
        <item x="12"/>
        <item x="32"/>
        <item x="10"/>
        <item x="18"/>
        <item x="0"/>
        <item x="11"/>
        <item x="47"/>
        <item x="46"/>
        <item x="21"/>
        <item x="42"/>
        <item x="33"/>
        <item x="26"/>
        <item x="43"/>
        <item x="24"/>
        <item x="6"/>
        <item x="44"/>
        <item t="default"/>
      </items>
    </pivotField>
    <pivotField axis="axisRow" showAll="0">
      <items count="11">
        <item x="0"/>
        <item x="4"/>
        <item x="9"/>
        <item x="2"/>
        <item x="3"/>
        <item x="7"/>
        <item x="8"/>
        <item x="1"/>
        <item x="5"/>
        <item x="6"/>
        <item t="default"/>
      </items>
    </pivotField>
    <pivotField numFmtId="14" showAll="0">
      <items count="155">
        <item x="97"/>
        <item x="120"/>
        <item x="93"/>
        <item x="101"/>
        <item x="130"/>
        <item x="137"/>
        <item x="83"/>
        <item x="19"/>
        <item x="63"/>
        <item x="114"/>
        <item x="65"/>
        <item x="1"/>
        <item x="98"/>
        <item x="27"/>
        <item x="59"/>
        <item x="112"/>
        <item x="147"/>
        <item x="104"/>
        <item x="90"/>
        <item x="74"/>
        <item x="50"/>
        <item x="142"/>
        <item x="124"/>
        <item x="110"/>
        <item x="11"/>
        <item x="48"/>
        <item x="136"/>
        <item x="129"/>
        <item x="95"/>
        <item x="26"/>
        <item x="145"/>
        <item x="2"/>
        <item x="92"/>
        <item x="107"/>
        <item x="64"/>
        <item x="87"/>
        <item x="54"/>
        <item x="29"/>
        <item x="32"/>
        <item x="72"/>
        <item x="81"/>
        <item x="7"/>
        <item x="153"/>
        <item x="103"/>
        <item x="144"/>
        <item x="45"/>
        <item x="111"/>
        <item x="28"/>
        <item x="36"/>
        <item x="17"/>
        <item x="133"/>
        <item x="6"/>
        <item x="55"/>
        <item x="115"/>
        <item x="94"/>
        <item x="22"/>
        <item x="56"/>
        <item x="43"/>
        <item x="128"/>
        <item x="58"/>
        <item x="108"/>
        <item x="68"/>
        <item x="73"/>
        <item x="119"/>
        <item x="16"/>
        <item x="25"/>
        <item x="151"/>
        <item x="49"/>
        <item x="138"/>
        <item x="86"/>
        <item x="132"/>
        <item x="66"/>
        <item x="3"/>
        <item x="13"/>
        <item x="150"/>
        <item x="131"/>
        <item x="149"/>
        <item x="9"/>
        <item x="117"/>
        <item x="39"/>
        <item x="75"/>
        <item x="126"/>
        <item x="18"/>
        <item x="34"/>
        <item x="62"/>
        <item x="31"/>
        <item x="127"/>
        <item x="47"/>
        <item x="135"/>
        <item x="44"/>
        <item x="113"/>
        <item x="38"/>
        <item x="122"/>
        <item x="85"/>
        <item x="20"/>
        <item x="123"/>
        <item x="96"/>
        <item x="80"/>
        <item x="57"/>
        <item x="82"/>
        <item x="30"/>
        <item x="41"/>
        <item x="15"/>
        <item x="78"/>
        <item x="23"/>
        <item x="100"/>
        <item x="37"/>
        <item x="134"/>
        <item x="69"/>
        <item x="21"/>
        <item x="4"/>
        <item x="152"/>
        <item x="12"/>
        <item x="148"/>
        <item x="140"/>
        <item x="33"/>
        <item x="8"/>
        <item x="42"/>
        <item x="106"/>
        <item x="102"/>
        <item x="141"/>
        <item x="84"/>
        <item x="10"/>
        <item x="24"/>
        <item x="77"/>
        <item x="99"/>
        <item x="51"/>
        <item x="109"/>
        <item x="5"/>
        <item x="61"/>
        <item x="35"/>
        <item x="76"/>
        <item x="60"/>
        <item x="14"/>
        <item x="139"/>
        <item x="40"/>
        <item x="146"/>
        <item x="0"/>
        <item x="105"/>
        <item x="121"/>
        <item x="88"/>
        <item x="79"/>
        <item x="53"/>
        <item x="143"/>
        <item x="91"/>
        <item x="89"/>
        <item x="67"/>
        <item x="125"/>
        <item x="71"/>
        <item x="52"/>
        <item x="118"/>
        <item x="116"/>
        <item x="70"/>
        <item x="46"/>
        <item t="default"/>
      </items>
    </pivotField>
    <pivotField numFmtId="14" showAll="0"/>
    <pivotField dataField="1" showAll="0"/>
    <pivotField showAll="0"/>
    <pivotField dataField="1" showAll="0"/>
    <pivotField showAll="0">
      <items count="4">
        <item x="2"/>
        <item x="0"/>
        <item x="1"/>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PO_Amount" fld="7" baseField="0" baseItem="0"/>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7D66F2-73C5-45BB-AE15-168D5A9B67F8}" name="Supplier_Performanc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7:F68" firstHeaderRow="0" firstDataRow="1" firstDataCol="1"/>
  <pivotFields count="6">
    <pivotField showAll="0"/>
    <pivotField axis="axisRow" showAll="0">
      <items count="51">
        <item x="43"/>
        <item x="29"/>
        <item x="40"/>
        <item x="6"/>
        <item x="20"/>
        <item x="7"/>
        <item x="1"/>
        <item x="46"/>
        <item x="17"/>
        <item x="21"/>
        <item x="5"/>
        <item x="8"/>
        <item x="48"/>
        <item x="25"/>
        <item x="49"/>
        <item x="31"/>
        <item x="2"/>
        <item x="30"/>
        <item x="35"/>
        <item x="0"/>
        <item x="33"/>
        <item x="28"/>
        <item x="41"/>
        <item x="44"/>
        <item x="23"/>
        <item x="3"/>
        <item x="9"/>
        <item x="10"/>
        <item x="39"/>
        <item x="18"/>
        <item x="45"/>
        <item x="22"/>
        <item x="27"/>
        <item x="14"/>
        <item x="36"/>
        <item x="15"/>
        <item x="12"/>
        <item x="42"/>
        <item x="19"/>
        <item x="32"/>
        <item x="4"/>
        <item x="47"/>
        <item x="16"/>
        <item x="24"/>
        <item x="34"/>
        <item x="13"/>
        <item x="37"/>
        <item x="38"/>
        <item x="11"/>
        <item x="26"/>
        <item t="default"/>
      </items>
    </pivotField>
    <pivotField showAll="0"/>
    <pivotField showAll="0"/>
    <pivotField dataField="1" showAll="0"/>
    <pivotField dataField="1" showAll="0"/>
  </pivotFields>
  <rowFields count="1">
    <field x="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2">
    <i>
      <x/>
    </i>
    <i i="1">
      <x v="1"/>
    </i>
  </colItems>
  <dataFields count="2">
    <dataField name="Average of Supplier_Rating" fld="5" subtotal="average" baseField="1" baseItem="0"/>
    <dataField name="Average of Lead_Time_Days" fld="4" subtotal="average" baseField="1"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8B8835-1179-4EB3-82AC-7234FBDE260D}" name="Monthly_Spend"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7:B30" firstHeaderRow="1" firstDataRow="1" firstDataCol="1"/>
  <pivotFields count="12">
    <pivotField showAll="0"/>
    <pivotField showAll="0">
      <items count="49">
        <item x="23"/>
        <item x="41"/>
        <item x="25"/>
        <item x="22"/>
        <item x="13"/>
        <item x="38"/>
        <item x="5"/>
        <item x="19"/>
        <item x="34"/>
        <item x="39"/>
        <item x="29"/>
        <item x="27"/>
        <item x="1"/>
        <item x="14"/>
        <item x="30"/>
        <item x="36"/>
        <item x="15"/>
        <item x="4"/>
        <item x="20"/>
        <item x="17"/>
        <item x="31"/>
        <item x="28"/>
        <item x="45"/>
        <item x="16"/>
        <item x="8"/>
        <item x="3"/>
        <item x="2"/>
        <item x="9"/>
        <item x="35"/>
        <item x="37"/>
        <item x="7"/>
        <item x="40"/>
        <item x="12"/>
        <item x="32"/>
        <item x="10"/>
        <item x="18"/>
        <item x="0"/>
        <item x="11"/>
        <item x="47"/>
        <item x="46"/>
        <item x="21"/>
        <item x="42"/>
        <item x="33"/>
        <item x="26"/>
        <item x="43"/>
        <item x="24"/>
        <item x="6"/>
        <item x="44"/>
        <item t="default"/>
      </items>
    </pivotField>
    <pivotField showAll="0">
      <items count="11">
        <item x="0"/>
        <item x="4"/>
        <item x="9"/>
        <item x="2"/>
        <item x="3"/>
        <item x="7"/>
        <item x="8"/>
        <item x="1"/>
        <item x="5"/>
        <item x="6"/>
        <item t="default"/>
      </items>
    </pivotField>
    <pivotField numFmtId="14" showAll="0">
      <items count="155">
        <item x="97"/>
        <item x="120"/>
        <item x="93"/>
        <item x="101"/>
        <item x="130"/>
        <item x="137"/>
        <item x="83"/>
        <item x="19"/>
        <item x="63"/>
        <item x="114"/>
        <item x="65"/>
        <item x="1"/>
        <item x="98"/>
        <item x="27"/>
        <item x="59"/>
        <item x="112"/>
        <item x="147"/>
        <item x="104"/>
        <item x="90"/>
        <item x="74"/>
        <item x="50"/>
        <item x="142"/>
        <item x="124"/>
        <item x="110"/>
        <item x="11"/>
        <item x="48"/>
        <item x="136"/>
        <item x="129"/>
        <item x="95"/>
        <item x="26"/>
        <item x="145"/>
        <item x="2"/>
        <item x="92"/>
        <item x="107"/>
        <item x="64"/>
        <item x="87"/>
        <item x="54"/>
        <item x="29"/>
        <item x="32"/>
        <item x="72"/>
        <item x="81"/>
        <item x="7"/>
        <item x="153"/>
        <item x="103"/>
        <item x="144"/>
        <item x="45"/>
        <item x="111"/>
        <item x="28"/>
        <item x="36"/>
        <item x="17"/>
        <item x="133"/>
        <item x="6"/>
        <item x="55"/>
        <item x="115"/>
        <item x="94"/>
        <item x="22"/>
        <item x="56"/>
        <item x="43"/>
        <item x="128"/>
        <item x="58"/>
        <item x="108"/>
        <item x="68"/>
        <item x="73"/>
        <item x="119"/>
        <item x="16"/>
        <item x="25"/>
        <item x="151"/>
        <item x="49"/>
        <item x="138"/>
        <item x="86"/>
        <item x="132"/>
        <item x="66"/>
        <item x="3"/>
        <item x="13"/>
        <item x="150"/>
        <item x="131"/>
        <item x="149"/>
        <item x="9"/>
        <item x="117"/>
        <item x="39"/>
        <item x="75"/>
        <item x="126"/>
        <item x="18"/>
        <item x="34"/>
        <item x="62"/>
        <item x="31"/>
        <item x="127"/>
        <item x="47"/>
        <item x="135"/>
        <item x="44"/>
        <item x="113"/>
        <item x="38"/>
        <item x="122"/>
        <item x="85"/>
        <item x="20"/>
        <item x="123"/>
        <item x="96"/>
        <item x="80"/>
        <item x="57"/>
        <item x="82"/>
        <item x="30"/>
        <item x="41"/>
        <item x="15"/>
        <item x="78"/>
        <item x="23"/>
        <item x="100"/>
        <item x="37"/>
        <item x="134"/>
        <item x="69"/>
        <item x="21"/>
        <item x="4"/>
        <item x="152"/>
        <item x="12"/>
        <item x="148"/>
        <item x="140"/>
        <item x="33"/>
        <item x="8"/>
        <item x="42"/>
        <item x="106"/>
        <item x="102"/>
        <item x="141"/>
        <item x="84"/>
        <item x="10"/>
        <item x="24"/>
        <item x="77"/>
        <item x="99"/>
        <item x="51"/>
        <item x="109"/>
        <item x="5"/>
        <item x="61"/>
        <item x="35"/>
        <item x="76"/>
        <item x="60"/>
        <item x="14"/>
        <item x="139"/>
        <item x="40"/>
        <item x="146"/>
        <item x="0"/>
        <item x="105"/>
        <item x="121"/>
        <item x="88"/>
        <item x="79"/>
        <item x="53"/>
        <item x="143"/>
        <item x="91"/>
        <item x="89"/>
        <item x="67"/>
        <item x="125"/>
        <item x="71"/>
        <item x="52"/>
        <item x="118"/>
        <item x="116"/>
        <item x="70"/>
        <item x="46"/>
        <item t="default"/>
      </items>
    </pivotField>
    <pivotField numFmtId="14" showAll="0"/>
    <pivotField showAll="0"/>
    <pivotField showAll="0"/>
    <pivotField dataField="1" showAll="0"/>
    <pivotField showAll="0">
      <items count="4">
        <item x="2"/>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PO_Amount" fld="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8013E25F-E2E6-4BA6-9CF2-0A5FAC378CD9}" autoFormatId="16" applyNumberFormats="0" applyBorderFormats="0" applyFontFormats="0" applyPatternFormats="0" applyAlignmentFormats="0" applyWidthHeightFormats="0">
  <queryTableRefresh nextId="7">
    <queryTableFields count="6">
      <queryTableField id="1" name="Shipment_ID" tableColumnId="1"/>
      <queryTableField id="2" name="PO_Number" tableColumnId="2"/>
      <queryTableField id="3" name="Dispatch_Date" tableColumnId="3"/>
      <queryTableField id="4" name="Delivery_Date" tableColumnId="4"/>
      <queryTableField id="5" name="Delay_Days" tableColumnId="5"/>
      <queryTableField id="6" name="Shipment_Status"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128D3267-8D19-4AD3-9D6D-D67C05015D03}" autoFormatId="16" applyNumberFormats="0" applyBorderFormats="0" applyFontFormats="0" applyPatternFormats="0" applyAlignmentFormats="0" applyWidthHeightFormats="0">
  <queryTableRefresh nextId="11">
    <queryTableFields count="10">
      <queryTableField id="1" name="PO_Number" tableColumnId="1"/>
      <queryTableField id="2" name="Supplier_ID" tableColumnId="2"/>
      <queryTableField id="3" name="Material" tableColumnId="3"/>
      <queryTableField id="4" name="Order_Date" tableColumnId="4"/>
      <queryTableField id="5" name="Expected_Delivery" tableColumnId="5"/>
      <queryTableField id="6" name="Quantity" tableColumnId="6"/>
      <queryTableField id="7" name="Unit_Price" tableColumnId="7"/>
      <queryTableField id="8" name="PO_Amount" tableColumnId="8"/>
      <queryTableField id="9" name="Status" tableColumnId="9"/>
      <queryTableField id="10" name="Category"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6" xr16:uid="{B07D7AE1-81DF-4BB5-833D-3894039C616B}" autoFormatId="16" applyNumberFormats="0" applyBorderFormats="0" applyFontFormats="0" applyPatternFormats="0" applyAlignmentFormats="0" applyWidthHeightFormats="0">
  <queryTableRefresh nextId="11">
    <queryTableFields count="9">
      <queryTableField id="1" name="PO_Number" tableColumnId="1"/>
      <queryTableField id="2" name="Supplier_ID" tableColumnId="2"/>
      <queryTableField id="3" name="Material" tableColumnId="3"/>
      <queryTableField id="4" name="Order_Date" tableColumnId="4"/>
      <queryTableField id="5" name="Expected_Delivery" tableColumnId="5"/>
      <queryTableField id="6" name="Quantity" tableColumnId="6"/>
      <queryTableField id="7" name="Unit_Price" tableColumnId="7"/>
      <queryTableField id="8" name="PO_Amount" tableColumnId="8"/>
      <queryTableField id="9" name="Status"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7" xr16:uid="{A100A7F7-00E9-4826-9BD2-20A635CA2625}" autoFormatId="16" applyNumberFormats="0" applyBorderFormats="0" applyFontFormats="0" applyPatternFormats="0" applyAlignmentFormats="0" applyWidthHeightFormats="0">
  <queryTableRefresh nextId="7">
    <queryTableFields count="6">
      <queryTableField id="1" name="Supplier_ID" tableColumnId="1"/>
      <queryTableField id="2" name="Supplier_Name" tableColumnId="2"/>
      <queryTableField id="3" name="Country" tableColumnId="3"/>
      <queryTableField id="4" name="Category" tableColumnId="4"/>
      <queryTableField id="5" name="Lead_Time_Days" tableColumnId="5"/>
      <queryTableField id="6" name="Supplier_Rating"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3" xr16:uid="{658BE995-F83F-4725-B714-0B282FA7E7E8}" autoFormatId="16" applyNumberFormats="0" applyBorderFormats="0" applyFontFormats="0" applyPatternFormats="0" applyAlignmentFormats="0" applyWidthHeightFormats="0">
  <queryTableRefresh nextId="11" unboundColumnsRight="1">
    <queryTableFields count="10">
      <queryTableField id="1" name="PO_Number" tableColumnId="1"/>
      <queryTableField id="2" name="Supplier_ID" tableColumnId="2"/>
      <queryTableField id="3" name="Material" tableColumnId="3"/>
      <queryTableField id="4" name="Order_Date" tableColumnId="4"/>
      <queryTableField id="5" name="Expected_Delivery" tableColumnId="5"/>
      <queryTableField id="6" name="Quantity" tableColumnId="6"/>
      <queryTableField id="7" name="Unit_Price" tableColumnId="7"/>
      <queryTableField id="8" name="PO_Amount" tableColumnId="8"/>
      <queryTableField id="9" name="Status" tableColumnId="9"/>
      <queryTableField id="10" dataBound="0" tableColumnId="1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2" xr16:uid="{CBFEAC98-02EF-43F1-9A15-4259DA0F871F}" autoFormatId="16" applyNumberFormats="0" applyBorderFormats="0" applyFontFormats="0" applyPatternFormats="0" applyAlignmentFormats="0" applyWidthHeightFormats="0">
  <queryTableRefresh nextId="12" unboundColumnsRight="1">
    <queryTableFields count="11">
      <queryTableField id="1" name="Invoice_ID" tableColumnId="1"/>
      <queryTableField id="2" name="PO_Number" tableColumnId="2"/>
      <queryTableField id="3" name="Invoice_Date" tableColumnId="3"/>
      <queryTableField id="4" name="Invoice_Amount" tableColumnId="4"/>
      <queryTableField id="5" name="Tax" tableColumnId="5"/>
      <queryTableField id="6" name="Discount" tableColumnId="6"/>
      <queryTableField id="7" name="Final_Amount" tableColumnId="7"/>
      <queryTableField id="8" name="Payment_Status" tableColumnId="8"/>
      <queryTableField id="9" name="Calculated_Total" tableColumnId="9"/>
      <queryTableField id="10" name="Invoice_Discrepancy" tableColumnId="10"/>
      <queryTableField id="11" dataBound="0" tableColumnId="11"/>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 xr16:uid="{B9B5966D-E81F-49AA-B30B-B9074E853B8E}" autoFormatId="16" applyNumberFormats="0" applyBorderFormats="0" applyFontFormats="0" applyPatternFormats="0" applyAlignmentFormats="0" applyWidthHeightFormats="0">
  <queryTableRefresh nextId="8">
    <queryTableFields count="7">
      <queryTableField id="1" name="Item_ID" tableColumnId="1"/>
      <queryTableField id="2" name="Material" tableColumnId="2"/>
      <queryTableField id="3" name="Warehouse" tableColumnId="3"/>
      <queryTableField id="4" name="Stock" tableColumnId="4"/>
      <queryTableField id="5" name="Reorder_Level" tableColumnId="5"/>
      <queryTableField id="6" name="Inventory_Value" tableColumnId="6"/>
      <queryTableField id="7" name="Low_Stock"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ID" xr10:uid="{2F229ED7-5B39-4DC8-B71E-84F6629EEB6E}" sourceName="Supplier_ID">
  <pivotTables>
    <pivotTable tabId="1" name="Material_Purchase"/>
    <pivotTable tabId="1" name="Monthly_Spend"/>
  </pivotTables>
  <data>
    <tabular pivotCacheId="1168326044">
      <items count="48">
        <i x="23" s="1"/>
        <i x="41" s="1"/>
        <i x="25" s="1"/>
        <i x="22" s="1"/>
        <i x="13" s="1"/>
        <i x="38" s="1"/>
        <i x="5" s="1"/>
        <i x="19" s="1"/>
        <i x="34" s="1"/>
        <i x="39" s="1"/>
        <i x="29" s="1"/>
        <i x="27" s="1"/>
        <i x="1" s="1"/>
        <i x="14" s="1"/>
        <i x="30" s="1"/>
        <i x="36" s="1"/>
        <i x="15" s="1"/>
        <i x="4" s="1"/>
        <i x="20" s="1"/>
        <i x="17" s="1"/>
        <i x="31" s="1"/>
        <i x="28" s="1"/>
        <i x="45" s="1"/>
        <i x="16" s="1"/>
        <i x="8" s="1"/>
        <i x="3" s="1"/>
        <i x="2" s="1"/>
        <i x="9" s="1"/>
        <i x="35" s="1"/>
        <i x="37" s="1"/>
        <i x="7" s="1"/>
        <i x="40" s="1"/>
        <i x="12" s="1"/>
        <i x="32" s="1"/>
        <i x="10" s="1"/>
        <i x="18" s="1"/>
        <i x="0" s="1"/>
        <i x="11" s="1"/>
        <i x="47" s="1"/>
        <i x="46" s="1"/>
        <i x="21" s="1"/>
        <i x="42" s="1"/>
        <i x="33" s="1"/>
        <i x="26" s="1"/>
        <i x="43" s="1"/>
        <i x="24" s="1"/>
        <i x="6" s="1"/>
        <i x="4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 xr10:uid="{0375F2BA-B035-4E61-9AE5-B0D0EF80FD56}" sourceName="Material">
  <pivotTables>
    <pivotTable tabId="1" name="Material_Purchase"/>
    <pivotTable tabId="1" name="Monthly_Spend"/>
  </pivotTables>
  <data>
    <tabular pivotCacheId="1168326044">
      <items count="10">
        <i x="0" s="1"/>
        <i x="4" s="1"/>
        <i x="9" s="1"/>
        <i x="2" s="1"/>
        <i x="3" s="1"/>
        <i x="7" s="1"/>
        <i x="8" s="1"/>
        <i x="1"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FB5DA79-1AE6-4389-BAB0-832F6DD9F7AA}" sourceName="Status">
  <pivotTables>
    <pivotTable tabId="1" name="Material_Purchase"/>
    <pivotTable tabId="1" name="Monthly_Spend"/>
  </pivotTables>
  <data>
    <tabular pivotCacheId="1168326044">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A1045DD1-06A1-4F6B-970E-72720D3B084C}" sourceName="Months (Order_Date)">
  <pivotTables>
    <pivotTable tabId="1" name="Material_Purchase"/>
    <pivotTable tabId="1" name="Monthly_Spend"/>
  </pivotTables>
  <data>
    <tabular pivotCacheId="1168326044">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DF2121A9-A975-4D52-9173-42BE03268661}" sourceName="Warehouse">
  <pivotTables>
    <pivotTable tabId="1" name="Warehouse_Inventory"/>
    <pivotTable tabId="1" name="PivotTable7"/>
  </pivotTables>
  <data>
    <tabular pivotCacheId="1355442479">
      <items count="5">
        <i x="1" s="1"/>
        <i x="2"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_ID 1" xr10:uid="{7D18D3F0-BD92-406A-AC91-F173A9B74890}" cache="Slicer_Supplier_ID" caption="Supplier_ID" rowHeight="247650"/>
  <slicer name="Material 1" xr10:uid="{71B84F8F-5EBF-4466-8411-173C5703CC41}" cache="Slicer_Material" caption="Material" rowHeight="247650"/>
  <slicer name="Status 1" xr10:uid="{65CFF612-2A5A-47B2-9141-F7BB1D5C5A8F}" cache="Slicer_Status" caption="Status" rowHeight="247650"/>
  <slicer name="Months (Order_Date) 1" xr10:uid="{E66A1FA9-3521-47B4-AB67-6C99459D7675}" cache="Slicer_Months__Order_Date" caption="Months (Order_Date)" rowHeight="247650"/>
  <slicer name="Warehouse 1" xr10:uid="{50C08BF4-ADE2-4456-9DAE-37518B1B43FF}" cache="Slicer_Warehouse" caption="Warehous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_ID" xr10:uid="{DCF44790-5831-4D3D-9819-AC33AC66E166}" cache="Slicer_Supplier_ID" caption="Supplier_ID" rowHeight="247650"/>
  <slicer name="Material" xr10:uid="{4B311CDF-9B12-4F79-917E-BD37168B498D}" cache="Slicer_Material" caption="Material" rowHeight="247650"/>
  <slicer name="Status" xr10:uid="{79A4FEC3-249A-45F8-A046-8DDE8ECE9DD9}" cache="Slicer_Status" caption="Status" rowHeight="247650"/>
  <slicer name="Months (Order_Date)" xr10:uid="{2556D6C0-17C9-4354-A546-79BB94743D95}" cache="Slicer_Months__Order_Date" caption="Months (Order_Date)" rowHeight="247650"/>
  <slicer name="Warehouse" xr10:uid="{3E28EB3B-C373-4E83-B964-52CB4D1B136C}" cache="Slicer_Warehouse" caption="Warehous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0D870E7-D65A-40D1-B1AB-FCFF2D446FE9}" name="clean_shipments" displayName="clean_shipments" ref="A1:F201" tableType="queryTable" totalsRowShown="0">
  <autoFilter ref="A1:F201" xr:uid="{80D870E7-D65A-40D1-B1AB-FCFF2D446FE9}"/>
  <tableColumns count="6">
    <tableColumn id="1" xr3:uid="{B9564C0A-7C2B-4B6F-8675-191E0688A34B}" uniqueName="1" name="Shipment_ID" queryTableFieldId="1" dataDxfId="23"/>
    <tableColumn id="2" xr3:uid="{82D4675D-FF68-41DB-95E2-F62FC7762279}" uniqueName="2" name="PO_Number" queryTableFieldId="2" dataDxfId="22"/>
    <tableColumn id="3" xr3:uid="{F4FF54F3-4A43-4B37-B048-F54CAA805F33}" uniqueName="3" name="Dispatch_Date" queryTableFieldId="3" dataDxfId="21"/>
    <tableColumn id="4" xr3:uid="{85AB29FE-2EA6-4C99-B879-4B0237BB4C82}" uniqueName="4" name="Delivery_Date" queryTableFieldId="4" dataDxfId="20"/>
    <tableColumn id="5" xr3:uid="{D48702F5-5FB9-43D3-960F-3F3E5A1C513D}" uniqueName="5" name="Delay_Days" queryTableFieldId="5"/>
    <tableColumn id="6" xr3:uid="{A56A21B3-CF0E-4E03-B828-B5AD9555BF0A}" uniqueName="6" name="Shipment_Status"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3134009-3CFC-4FC7-8E89-67206865C76A}" name="Merge1" displayName="Merge1" ref="A1:J201" tableType="queryTable" totalsRowShown="0">
  <autoFilter ref="A1:J201" xr:uid="{A3134009-3CFC-4FC7-8E89-67206865C76A}"/>
  <tableColumns count="10">
    <tableColumn id="1" xr3:uid="{8B7FEEA7-C6BF-4C4D-9B27-098A07683FCD}" uniqueName="1" name="PO_Number" queryTableFieldId="1" dataDxfId="14"/>
    <tableColumn id="2" xr3:uid="{134A58D3-D4E8-4C69-86F9-DFA2257DA28E}" uniqueName="2" name="Supplier_ID" queryTableFieldId="2" dataDxfId="13"/>
    <tableColumn id="3" xr3:uid="{3732386A-717B-43EB-8399-F12277962F60}" uniqueName="3" name="Material" queryTableFieldId="3" dataDxfId="12"/>
    <tableColumn id="4" xr3:uid="{6C07861F-7949-419D-8A2B-7B7E860D929C}" uniqueName="4" name="Order_Date" queryTableFieldId="4" dataDxfId="11"/>
    <tableColumn id="5" xr3:uid="{55834AA6-7901-47B8-9F1F-25105488926D}" uniqueName="5" name="Expected_Delivery" queryTableFieldId="5" dataDxfId="10"/>
    <tableColumn id="6" xr3:uid="{4329CD93-5A11-4D96-8ABF-8B88303E59B2}" uniqueName="6" name="Quantity" queryTableFieldId="6"/>
    <tableColumn id="7" xr3:uid="{3E8A9AF5-E824-4E55-AF0F-F2890BA818FF}" uniqueName="7" name="Unit_Price" queryTableFieldId="7"/>
    <tableColumn id="8" xr3:uid="{B74A6D2F-BF6B-4B48-8F77-CAB6FC8D0FD1}" uniqueName="8" name="PO_Amount" queryTableFieldId="8"/>
    <tableColumn id="9" xr3:uid="{1C97A186-C385-43F6-B7CD-4B6601338CAD}" uniqueName="9" name="Status" queryTableFieldId="9" dataDxfId="9"/>
    <tableColumn id="10" xr3:uid="{EFFF9FA8-CC73-4DF6-A982-6A2AD37A6D7F}" uniqueName="10" name="Category" queryTableFieldId="10" dataDxf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703DC73-2C0E-4F6F-A065-209E8ACCEA0B}" name="PurchaseOrders" displayName="PurchaseOrders" ref="A1:I201" tableType="queryTable" totalsRowShown="0">
  <autoFilter ref="A1:I201" xr:uid="{F703DC73-2C0E-4F6F-A065-209E8ACCEA0B}"/>
  <tableColumns count="9">
    <tableColumn id="1" xr3:uid="{C3528B16-E446-4159-B51C-BCA7BF2A4C23}" uniqueName="1" name="PO_Number" queryTableFieldId="1" dataDxfId="7"/>
    <tableColumn id="2" xr3:uid="{2219CAAB-810E-43D5-B7B8-7F78D8E95C60}" uniqueName="2" name="Supplier_ID" queryTableFieldId="2" dataDxfId="6"/>
    <tableColumn id="3" xr3:uid="{BDE4A628-5808-47DF-A64C-21E65D117E40}" uniqueName="3" name="Material" queryTableFieldId="3" dataDxfId="5"/>
    <tableColumn id="4" xr3:uid="{3B07B2F0-2AD3-4093-ACA1-9D5ABB577D3E}" uniqueName="4" name="Order_Date" queryTableFieldId="4" dataDxfId="4"/>
    <tableColumn id="5" xr3:uid="{217FA39C-4640-4F87-9CB1-B496EB31DB11}" uniqueName="5" name="Expected_Delivery" queryTableFieldId="5" dataDxfId="3"/>
    <tableColumn id="6" xr3:uid="{51E63073-B4EA-4B16-B95A-DBF4BC75E590}" uniqueName="6" name="Quantity" queryTableFieldId="6"/>
    <tableColumn id="7" xr3:uid="{6A502DA4-98F8-445F-84F8-383C4F995B2B}" uniqueName="7" name="Unit_Price" queryTableFieldId="7"/>
    <tableColumn id="8" xr3:uid="{237DAAB6-36DD-4ADF-9D20-3B33F44AF1CE}" uniqueName="8" name="PO_Amount" queryTableFieldId="8"/>
    <tableColumn id="9" xr3:uid="{E4B144DF-A7D2-400B-9CED-3776E8C2132A}" uniqueName="9" name="Status" queryTableFieldId="9" dataDxf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F8966D-A99E-4119-9008-FF4357427322}" name="Suppliers" displayName="Suppliers" ref="A1:F51" tableType="queryTable" totalsRowShown="0">
  <autoFilter ref="A1:F51" xr:uid="{2FF8966D-A99E-4119-9008-FF4357427322}"/>
  <tableColumns count="6">
    <tableColumn id="1" xr3:uid="{8CD4B69F-F904-4F50-A6BF-77C9B33CCF67}" uniqueName="1" name="Supplier_ID" queryTableFieldId="1" dataDxfId="18"/>
    <tableColumn id="2" xr3:uid="{39D987D0-C5F6-46DD-A87E-23050981AE86}" uniqueName="2" name="Supplier_Name" queryTableFieldId="2" dataDxfId="17"/>
    <tableColumn id="3" xr3:uid="{9CF79635-239C-4116-B55D-B8358D5ED91E}" uniqueName="3" name="Country" queryTableFieldId="3" dataDxfId="16"/>
    <tableColumn id="4" xr3:uid="{2D7BACFE-B9ED-4746-B984-5BBB697DA62D}" uniqueName="4" name="Category" queryTableFieldId="4" dataDxfId="15"/>
    <tableColumn id="5" xr3:uid="{65C47955-4677-4269-AF02-D295A3A6CFCF}" uniqueName="5" name="Lead_Time_Days" queryTableFieldId="5"/>
    <tableColumn id="6" xr3:uid="{399DA30B-0398-41F3-B4B5-2873DF803598}" uniqueName="6" name="Supplier_Rating" queryTableField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DF6A4A-923E-4A91-9482-C6F46536DAFA}" name="clean_purchase_orders" displayName="clean_purchase_orders" ref="A1:J201" tableType="queryTable" totalsRowShown="0">
  <autoFilter ref="A1:J201" xr:uid="{48DF6A4A-923E-4A91-9482-C6F46536DAFA}"/>
  <tableColumns count="10">
    <tableColumn id="1" xr3:uid="{BF0CBABF-A2E5-4842-8A17-3F988D563957}" uniqueName="1" name="PO_Number" queryTableFieldId="1" dataDxfId="29"/>
    <tableColumn id="2" xr3:uid="{2D165B0E-E0F2-4922-95FB-9D5C33B220E4}" uniqueName="2" name="Supplier_ID" queryTableFieldId="2" dataDxfId="28"/>
    <tableColumn id="3" xr3:uid="{B590E204-10C1-4712-A616-A000C3FD901E}" uniqueName="3" name="Material" queryTableFieldId="3" dataDxfId="27"/>
    <tableColumn id="4" xr3:uid="{8A00C8DD-7EB2-49F1-A584-26A2B9760B77}" uniqueName="4" name="Order_Date" queryTableFieldId="4" dataDxfId="26"/>
    <tableColumn id="5" xr3:uid="{F656DA1E-863C-4D4E-A7C8-BD8C344EC0BE}" uniqueName="5" name="Expected_Delivery" queryTableFieldId="5" dataDxfId="25"/>
    <tableColumn id="6" xr3:uid="{DF2F502E-2D9E-4F11-AC26-BBCDD1486710}" uniqueName="6" name="Quantity" queryTableFieldId="6"/>
    <tableColumn id="7" xr3:uid="{E66C1854-2FB2-47C0-8327-E29175156A9F}" uniqueName="7" name="Unit_Price" queryTableFieldId="7"/>
    <tableColumn id="8" xr3:uid="{3D5D7A3F-8169-4C5E-98FC-19344595B98A}" uniqueName="8" name="PO_Amount" queryTableFieldId="8"/>
    <tableColumn id="9" xr3:uid="{F4A990DC-CF63-48B7-8FE6-12ACFCDDBBDE}" uniqueName="9" name="Status" queryTableFieldId="9" dataDxfId="24"/>
    <tableColumn id="10" xr3:uid="{365663AA-EB7F-47D1-8121-530636D7C831}" uniqueName="10" name="PO_Month" queryTableFieldId="10" dataDxfId="0">
      <calculatedColumnFormula>TEXT(clean_purchase_orders[[#This Row],[Order_Date]],"yyyy-mm")</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844600-F5D8-4D95-A984-D93EE8106A93}" name="clean_invoices" displayName="clean_invoices" ref="A1:K201" tableType="queryTable" totalsRowShown="0">
  <autoFilter ref="A1:K201" xr:uid="{66844600-F5D8-4D95-A984-D93EE8106A93}"/>
  <tableColumns count="11">
    <tableColumn id="1" xr3:uid="{CF98DA2C-A5BF-41D8-9C7B-10B0932D9999}" uniqueName="1" name="Invoice_ID" queryTableFieldId="1" dataDxfId="33"/>
    <tableColumn id="2" xr3:uid="{D2A3DC93-9955-473D-887E-6E73D3F975AA}" uniqueName="2" name="PO_Number" queryTableFieldId="2" dataDxfId="32"/>
    <tableColumn id="3" xr3:uid="{2E2F3A2E-AB8D-47FB-9EA2-4B2C856EFB40}" uniqueName="3" name="Invoice_Date" queryTableFieldId="3" dataDxfId="31"/>
    <tableColumn id="4" xr3:uid="{09F9CC81-FFF3-4759-9F68-9EB1C50E9A5C}" uniqueName="4" name="Invoice_Amount" queryTableFieldId="4"/>
    <tableColumn id="5" xr3:uid="{CB110161-B25E-4CD6-9446-43D506360CCF}" uniqueName="5" name="Tax" queryTableFieldId="5"/>
    <tableColumn id="6" xr3:uid="{E216F90E-AEF8-42AF-9C5C-88B50438BEA0}" uniqueName="6" name="Discount" queryTableFieldId="6"/>
    <tableColumn id="7" xr3:uid="{89F6AF80-9CE5-488D-B184-0038332CB33C}" uniqueName="7" name="Final_Amount" queryTableFieldId="7"/>
    <tableColumn id="8" xr3:uid="{44D8661A-1F8B-4274-B872-682E0F9FAD67}" uniqueName="8" name="Payment_Status" queryTableFieldId="8" dataDxfId="30"/>
    <tableColumn id="9" xr3:uid="{635BD448-A48D-4323-9395-8504BDDB9FA5}" uniqueName="9" name="Calculated_Total" queryTableFieldId="9"/>
    <tableColumn id="10" xr3:uid="{57974F41-9D97-42D0-914E-25FEF98E1D99}" uniqueName="10" name="Invoice_Discrepancy" queryTableFieldId="10"/>
    <tableColumn id="11" xr3:uid="{28F1A211-86BF-400F-AE5E-2BF63B0AA5AB}" uniqueName="11" name="Inv_Month" queryTableFieldId="11" dataDxfId="1">
      <calculatedColumnFormula>TEXT(clean_invoices[[#This Row],[Invoice_Date]],"yyyy-mm")</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C41830-2289-484F-8765-1AF94196F62C}" name="clean_inventory" displayName="clean_inventory" ref="A1:G201" tableType="queryTable" totalsRowShown="0">
  <autoFilter ref="A1:G201" xr:uid="{82C41830-2289-484F-8765-1AF94196F62C}"/>
  <tableColumns count="7">
    <tableColumn id="1" xr3:uid="{7222E5D3-5B97-4440-AE30-6869543EA57B}" uniqueName="1" name="Item_ID" queryTableFieldId="1" dataDxfId="36"/>
    <tableColumn id="2" xr3:uid="{D9449153-AE62-4443-8165-64B7A7DBB18D}" uniqueName="2" name="Material" queryTableFieldId="2" dataDxfId="35"/>
    <tableColumn id="3" xr3:uid="{BA203088-8C25-4CC6-9F98-00D5921386CF}" uniqueName="3" name="Warehouse" queryTableFieldId="3" dataDxfId="34"/>
    <tableColumn id="4" xr3:uid="{D001DE62-5130-41FA-924A-A75C7EE25675}" uniqueName="4" name="Stock" queryTableFieldId="4"/>
    <tableColumn id="5" xr3:uid="{BA3BA753-8045-438B-ABC4-03AB7F2DB3B1}" uniqueName="5" name="Reorder_Level" queryTableFieldId="5"/>
    <tableColumn id="6" xr3:uid="{2E3C0E30-67F7-4903-A2F5-92CFEABA2769}" uniqueName="6" name="Inventory_Value" queryTableFieldId="6"/>
    <tableColumn id="7" xr3:uid="{35A16993-5F39-4BE6-907D-B4435E887F61}" uniqueName="7" name="Low_Stock"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DC083-93F7-4702-B878-7B95E111091D}">
  <sheetPr>
    <tabColor rgb="FF1B3A5C"/>
  </sheetPr>
  <dimension ref="A1:O68"/>
  <sheetViews>
    <sheetView showGridLines="0" tabSelected="1" workbookViewId="0">
      <pane xSplit="1" ySplit="5" topLeftCell="B6" activePane="bottomRight" state="frozen"/>
      <selection pane="topRight"/>
      <selection pane="bottomLeft"/>
      <selection pane="bottomRight" activeCell="N20" sqref="N20"/>
    </sheetView>
  </sheetViews>
  <sheetFormatPr defaultRowHeight="14.4" x14ac:dyDescent="0.3"/>
  <cols>
    <col min="1" max="1" width="1.44140625" customWidth="1"/>
    <col min="2" max="14" width="14" customWidth="1"/>
    <col min="15" max="15" width="1.44140625" customWidth="1"/>
  </cols>
  <sheetData>
    <row r="1" spans="1:15" ht="7.95" customHeight="1" x14ac:dyDescent="0.3">
      <c r="A1" s="181"/>
      <c r="B1" s="12"/>
      <c r="C1" s="12"/>
      <c r="D1" s="12"/>
      <c r="E1" s="12"/>
      <c r="F1" s="12"/>
      <c r="G1" s="12"/>
      <c r="H1" s="12"/>
      <c r="I1" s="12"/>
      <c r="J1" s="12"/>
      <c r="K1" s="12"/>
      <c r="L1" s="12"/>
      <c r="M1" s="12"/>
      <c r="N1" s="12"/>
      <c r="O1" s="12"/>
    </row>
    <row r="2" spans="1:15" ht="31.95" customHeight="1" x14ac:dyDescent="0.3">
      <c r="A2" s="183" t="s">
        <v>1119</v>
      </c>
      <c r="B2" s="12"/>
      <c r="C2" s="12"/>
      <c r="D2" s="12"/>
      <c r="E2" s="12"/>
      <c r="F2" s="12"/>
      <c r="G2" s="12"/>
      <c r="H2" s="12"/>
      <c r="I2" s="12"/>
      <c r="J2" s="12"/>
      <c r="K2" s="12"/>
      <c r="L2" s="12"/>
      <c r="M2" s="12"/>
      <c r="N2" s="12"/>
      <c r="O2" s="12"/>
    </row>
    <row r="3" spans="1:15" x14ac:dyDescent="0.3">
      <c r="A3" s="12"/>
      <c r="B3" s="12"/>
      <c r="C3" s="12"/>
      <c r="D3" s="12"/>
      <c r="E3" s="12"/>
      <c r="F3" s="12"/>
      <c r="G3" s="12"/>
      <c r="H3" s="12"/>
      <c r="I3" s="12"/>
      <c r="J3" s="12"/>
      <c r="K3" s="12"/>
      <c r="L3" s="12"/>
      <c r="M3" s="12"/>
      <c r="N3" s="12"/>
      <c r="O3" s="12"/>
    </row>
    <row r="4" spans="1:15" ht="18" customHeight="1" x14ac:dyDescent="0.3">
      <c r="A4" s="182" t="s">
        <v>1118</v>
      </c>
      <c r="B4" s="12"/>
      <c r="C4" s="12"/>
      <c r="D4" s="12"/>
      <c r="E4" s="12"/>
      <c r="F4" s="12"/>
      <c r="G4" s="12"/>
      <c r="H4" s="12"/>
      <c r="I4" s="12"/>
      <c r="J4" s="12"/>
      <c r="K4" s="12"/>
      <c r="L4" s="12"/>
      <c r="M4" s="12"/>
      <c r="N4" s="12"/>
      <c r="O4" s="12"/>
    </row>
    <row r="5" spans="1:15" ht="6" customHeight="1" x14ac:dyDescent="0.3">
      <c r="A5" s="181"/>
      <c r="B5" s="12"/>
      <c r="C5" s="12"/>
      <c r="D5" s="12"/>
      <c r="E5" s="12"/>
      <c r="F5" s="12"/>
      <c r="G5" s="12"/>
      <c r="H5" s="12"/>
      <c r="I5" s="12"/>
      <c r="J5" s="12"/>
      <c r="K5" s="12"/>
      <c r="L5" s="12"/>
      <c r="M5" s="12"/>
      <c r="N5" s="12"/>
      <c r="O5" s="12"/>
    </row>
    <row r="6" spans="1:15" ht="7.95" customHeight="1" x14ac:dyDescent="0.3"/>
    <row r="7" spans="1:15" ht="18" customHeight="1" x14ac:dyDescent="0.3">
      <c r="B7" s="180" t="s">
        <v>1117</v>
      </c>
      <c r="C7" s="149"/>
      <c r="D7" s="179" t="s">
        <v>1116</v>
      </c>
      <c r="E7" s="147"/>
      <c r="F7" s="178" t="s">
        <v>1115</v>
      </c>
      <c r="G7" s="145"/>
      <c r="H7" s="177" t="s">
        <v>1114</v>
      </c>
      <c r="I7" s="143"/>
      <c r="J7" s="176" t="s">
        <v>1113</v>
      </c>
      <c r="K7" s="141"/>
      <c r="L7" s="175" t="s">
        <v>1112</v>
      </c>
      <c r="M7" s="139"/>
    </row>
    <row r="8" spans="1:15" ht="28.05" customHeight="1" x14ac:dyDescent="0.3">
      <c r="B8" s="174" t="s">
        <v>1111</v>
      </c>
      <c r="C8" s="173"/>
      <c r="D8" s="172" t="s">
        <v>1110</v>
      </c>
      <c r="E8" s="171"/>
      <c r="F8" s="170" t="s">
        <v>1109</v>
      </c>
      <c r="G8" s="169"/>
      <c r="H8" s="168" t="s">
        <v>1108</v>
      </c>
      <c r="I8" s="167"/>
      <c r="J8" s="166" t="s">
        <v>1107</v>
      </c>
      <c r="K8" s="165"/>
      <c r="L8" s="164" t="s">
        <v>1106</v>
      </c>
      <c r="M8" s="163"/>
    </row>
    <row r="9" spans="1:15" x14ac:dyDescent="0.3">
      <c r="B9" s="162"/>
      <c r="C9" s="161"/>
      <c r="D9" s="160"/>
      <c r="E9" s="159"/>
      <c r="F9" s="158"/>
      <c r="G9" s="157"/>
      <c r="H9" s="156"/>
      <c r="I9" s="155"/>
      <c r="J9" s="154"/>
      <c r="K9" s="153"/>
      <c r="L9" s="152"/>
      <c r="M9" s="151"/>
    </row>
    <row r="10" spans="1:15" ht="16.05" customHeight="1" x14ac:dyDescent="0.3">
      <c r="B10" s="150" t="s">
        <v>1105</v>
      </c>
      <c r="C10" s="149"/>
      <c r="D10" s="148" t="s">
        <v>1104</v>
      </c>
      <c r="E10" s="147"/>
      <c r="F10" s="146" t="s">
        <v>1103</v>
      </c>
      <c r="G10" s="145"/>
      <c r="H10" s="144" t="s">
        <v>1102</v>
      </c>
      <c r="I10" s="143"/>
      <c r="J10" s="142" t="s">
        <v>1101</v>
      </c>
      <c r="K10" s="141"/>
      <c r="L10" s="140" t="s">
        <v>1100</v>
      </c>
      <c r="M10" s="139"/>
    </row>
    <row r="11" spans="1:15" ht="6" customHeight="1" x14ac:dyDescent="0.3">
      <c r="B11" s="138"/>
      <c r="C11" s="138"/>
      <c r="D11" s="137"/>
      <c r="E11" s="137"/>
      <c r="F11" s="136"/>
      <c r="G11" s="136"/>
      <c r="H11" s="135"/>
      <c r="I11" s="135"/>
      <c r="J11" s="134"/>
      <c r="K11" s="134"/>
      <c r="L11" s="133"/>
      <c r="M11" s="133"/>
    </row>
    <row r="12" spans="1:15" ht="10.050000000000001" customHeight="1" x14ac:dyDescent="0.3"/>
    <row r="13" spans="1:15" ht="22.05" customHeight="1" x14ac:dyDescent="0.3">
      <c r="B13" s="65" t="s">
        <v>1099</v>
      </c>
      <c r="C13" s="12"/>
      <c r="D13" s="12"/>
      <c r="E13" s="12"/>
      <c r="F13" s="12"/>
      <c r="G13" s="12"/>
      <c r="I13" s="132" t="s">
        <v>1098</v>
      </c>
      <c r="J13" s="12"/>
      <c r="K13" s="12"/>
      <c r="L13" s="12"/>
      <c r="M13" s="12"/>
    </row>
    <row r="14" spans="1:15" ht="18" customHeight="1" x14ac:dyDescent="0.3">
      <c r="B14" s="131" t="s">
        <v>1004</v>
      </c>
      <c r="C14" s="131" t="s">
        <v>1097</v>
      </c>
      <c r="D14" s="131" t="s">
        <v>1096</v>
      </c>
      <c r="E14" s="131" t="s">
        <v>1068</v>
      </c>
      <c r="F14" s="131" t="s">
        <v>1031</v>
      </c>
      <c r="G14" s="131" t="s">
        <v>1030</v>
      </c>
      <c r="I14" s="109" t="s">
        <v>1095</v>
      </c>
      <c r="J14" s="109" t="s">
        <v>1094</v>
      </c>
      <c r="K14" s="109" t="s">
        <v>1093</v>
      </c>
      <c r="L14" s="109" t="s">
        <v>1092</v>
      </c>
      <c r="M14" s="109" t="s">
        <v>1091</v>
      </c>
    </row>
    <row r="15" spans="1:15" ht="16.05" customHeight="1" x14ac:dyDescent="0.3">
      <c r="B15" s="25" t="s">
        <v>982</v>
      </c>
      <c r="C15" s="24">
        <v>1743132</v>
      </c>
      <c r="D15" s="28">
        <v>0.68607670971360868</v>
      </c>
      <c r="E15" s="120" t="s">
        <v>1090</v>
      </c>
      <c r="F15" s="24">
        <v>1898271</v>
      </c>
      <c r="G15" s="119">
        <v>155139</v>
      </c>
      <c r="I15" s="130" t="s">
        <v>1089</v>
      </c>
      <c r="J15" s="129">
        <v>5</v>
      </c>
      <c r="K15" s="128" t="s">
        <v>1087</v>
      </c>
      <c r="L15" s="127">
        <v>11</v>
      </c>
      <c r="M15" s="126" t="s">
        <v>1088</v>
      </c>
    </row>
    <row r="16" spans="1:15" ht="16.05" customHeight="1" x14ac:dyDescent="0.3">
      <c r="B16" s="19" t="s">
        <v>983</v>
      </c>
      <c r="C16" s="18">
        <v>915804</v>
      </c>
      <c r="D16" s="16">
        <v>-0.1141716203577459</v>
      </c>
      <c r="E16" s="118" t="s">
        <v>1082</v>
      </c>
      <c r="F16" s="18">
        <v>997311</v>
      </c>
      <c r="G16" s="17">
        <v>81507</v>
      </c>
      <c r="I16" s="130" t="s">
        <v>944</v>
      </c>
      <c r="J16" s="129">
        <v>5</v>
      </c>
      <c r="K16" s="128" t="s">
        <v>1087</v>
      </c>
      <c r="L16" s="127">
        <v>10</v>
      </c>
      <c r="M16" s="126" t="s">
        <v>1088</v>
      </c>
    </row>
    <row r="17" spans="2:13" ht="16.05" customHeight="1" x14ac:dyDescent="0.3">
      <c r="B17" s="25" t="s">
        <v>984</v>
      </c>
      <c r="C17" s="24">
        <v>792360</v>
      </c>
      <c r="D17" s="22">
        <v>-0.23357511553417931</v>
      </c>
      <c r="E17" s="120" t="s">
        <v>1059</v>
      </c>
      <c r="F17" s="24">
        <v>862880</v>
      </c>
      <c r="G17" s="119">
        <v>70520</v>
      </c>
      <c r="I17" s="125" t="s">
        <v>969</v>
      </c>
      <c r="J17" s="124">
        <v>4.9000000000000004</v>
      </c>
      <c r="K17" s="123" t="s">
        <v>1087</v>
      </c>
      <c r="L17" s="122">
        <v>5</v>
      </c>
      <c r="M17" s="121" t="s">
        <v>1084</v>
      </c>
    </row>
    <row r="18" spans="2:13" ht="16.05" customHeight="1" x14ac:dyDescent="0.3">
      <c r="B18" s="19" t="s">
        <v>985</v>
      </c>
      <c r="C18" s="18">
        <v>864086</v>
      </c>
      <c r="D18" s="16">
        <v>-0.16419681367240499</v>
      </c>
      <c r="E18" s="118" t="s">
        <v>1059</v>
      </c>
      <c r="F18" s="18">
        <v>940990</v>
      </c>
      <c r="G18" s="17">
        <v>76904</v>
      </c>
      <c r="I18" s="125" t="s">
        <v>1086</v>
      </c>
      <c r="J18" s="124">
        <v>4.9000000000000004</v>
      </c>
      <c r="K18" s="123" t="s">
        <v>1078</v>
      </c>
      <c r="L18" s="122">
        <v>18</v>
      </c>
      <c r="M18" s="121" t="s">
        <v>1084</v>
      </c>
    </row>
    <row r="19" spans="2:13" ht="16.05" customHeight="1" x14ac:dyDescent="0.3">
      <c r="B19" s="25" t="s">
        <v>986</v>
      </c>
      <c r="C19" s="24">
        <v>1541075</v>
      </c>
      <c r="D19" s="28">
        <v>0.49063333437852058</v>
      </c>
      <c r="E19" s="120" t="s">
        <v>1066</v>
      </c>
      <c r="F19" s="24">
        <v>1678231</v>
      </c>
      <c r="G19" s="119">
        <v>137156</v>
      </c>
      <c r="I19" s="125" t="s">
        <v>921</v>
      </c>
      <c r="J19" s="124">
        <v>4.9000000000000004</v>
      </c>
      <c r="K19" s="123" t="s">
        <v>1078</v>
      </c>
      <c r="L19" s="122">
        <v>9</v>
      </c>
      <c r="M19" s="121" t="s">
        <v>1084</v>
      </c>
    </row>
    <row r="20" spans="2:13" ht="16.05" customHeight="1" x14ac:dyDescent="0.3">
      <c r="B20" s="19" t="s">
        <v>987</v>
      </c>
      <c r="C20" s="18">
        <v>971692</v>
      </c>
      <c r="D20" s="16">
        <v>-6.0112917314904542E-2</v>
      </c>
      <c r="E20" s="118" t="s">
        <v>1082</v>
      </c>
      <c r="F20" s="18">
        <v>1058173</v>
      </c>
      <c r="G20" s="17">
        <v>86481</v>
      </c>
      <c r="I20" s="125" t="s">
        <v>1085</v>
      </c>
      <c r="J20" s="124">
        <v>4.8</v>
      </c>
      <c r="K20" s="123" t="s">
        <v>1078</v>
      </c>
      <c r="L20" s="122">
        <v>13</v>
      </c>
      <c r="M20" s="121" t="s">
        <v>1084</v>
      </c>
    </row>
    <row r="21" spans="2:13" ht="16.05" customHeight="1" x14ac:dyDescent="0.3">
      <c r="B21" s="25" t="s">
        <v>988</v>
      </c>
      <c r="C21" s="24">
        <v>1145358</v>
      </c>
      <c r="D21" s="28">
        <v>0.1078687374703461</v>
      </c>
      <c r="E21" s="120" t="s">
        <v>1080</v>
      </c>
      <c r="F21" s="24">
        <v>1247295</v>
      </c>
      <c r="G21" s="119">
        <v>101937</v>
      </c>
      <c r="I21" s="125" t="s">
        <v>953</v>
      </c>
      <c r="J21" s="124">
        <v>4.8</v>
      </c>
      <c r="K21" s="123" t="s">
        <v>1078</v>
      </c>
      <c r="L21" s="122">
        <v>12</v>
      </c>
      <c r="M21" s="121" t="s">
        <v>1084</v>
      </c>
    </row>
    <row r="22" spans="2:13" ht="16.05" customHeight="1" x14ac:dyDescent="0.3">
      <c r="B22" s="19" t="s">
        <v>989</v>
      </c>
      <c r="C22" s="18">
        <v>708923</v>
      </c>
      <c r="D22" s="16">
        <v>-0.31428109903306201</v>
      </c>
      <c r="E22" s="118" t="s">
        <v>1057</v>
      </c>
      <c r="F22" s="18">
        <v>772017</v>
      </c>
      <c r="G22" s="17">
        <v>63094</v>
      </c>
      <c r="I22" s="125" t="s">
        <v>960</v>
      </c>
      <c r="J22" s="124">
        <v>4.8</v>
      </c>
      <c r="K22" s="123" t="s">
        <v>1078</v>
      </c>
      <c r="L22" s="122">
        <v>19</v>
      </c>
      <c r="M22" s="121" t="s">
        <v>1084</v>
      </c>
    </row>
    <row r="23" spans="2:13" ht="16.05" customHeight="1" x14ac:dyDescent="0.3">
      <c r="B23" s="25" t="s">
        <v>990</v>
      </c>
      <c r="C23" s="24">
        <v>1210333</v>
      </c>
      <c r="D23" s="28">
        <v>0.17071700955395289</v>
      </c>
      <c r="E23" s="120" t="s">
        <v>1062</v>
      </c>
      <c r="F23" s="24">
        <v>1318053</v>
      </c>
      <c r="G23" s="119">
        <v>107720</v>
      </c>
      <c r="I23" s="117" t="s">
        <v>1083</v>
      </c>
      <c r="J23" s="116">
        <v>4.7</v>
      </c>
      <c r="K23" s="115" t="s">
        <v>1078</v>
      </c>
      <c r="L23" s="114">
        <v>4</v>
      </c>
      <c r="M23" s="113" t="s">
        <v>1077</v>
      </c>
    </row>
    <row r="24" spans="2:13" ht="16.05" customHeight="1" x14ac:dyDescent="0.3">
      <c r="B24" s="19" t="s">
        <v>991</v>
      </c>
      <c r="C24" s="18">
        <v>945460</v>
      </c>
      <c r="D24" s="16">
        <v>-8.5486305130174634E-2</v>
      </c>
      <c r="E24" s="118" t="s">
        <v>1082</v>
      </c>
      <c r="F24" s="18">
        <v>1029606</v>
      </c>
      <c r="G24" s="17">
        <v>84146</v>
      </c>
      <c r="I24" s="117" t="s">
        <v>1081</v>
      </c>
      <c r="J24" s="116">
        <v>4.7</v>
      </c>
      <c r="K24" s="115" t="s">
        <v>1078</v>
      </c>
      <c r="L24" s="114">
        <v>10</v>
      </c>
      <c r="M24" s="113" t="s">
        <v>1077</v>
      </c>
    </row>
    <row r="25" spans="2:13" ht="16.05" customHeight="1" x14ac:dyDescent="0.3">
      <c r="B25" s="25" t="s">
        <v>992</v>
      </c>
      <c r="C25" s="24">
        <v>1073550</v>
      </c>
      <c r="D25" s="28">
        <v>3.8411119589936142E-2</v>
      </c>
      <c r="E25" s="120" t="s">
        <v>1080</v>
      </c>
      <c r="F25" s="24">
        <v>1169096</v>
      </c>
      <c r="G25" s="119">
        <v>95546</v>
      </c>
      <c r="I25" s="117" t="s">
        <v>954</v>
      </c>
      <c r="J25" s="116">
        <v>4.5999999999999996</v>
      </c>
      <c r="K25" s="115" t="s">
        <v>1078</v>
      </c>
      <c r="L25" s="114">
        <v>14</v>
      </c>
      <c r="M25" s="113" t="s">
        <v>1077</v>
      </c>
    </row>
    <row r="26" spans="2:13" ht="16.05" customHeight="1" x14ac:dyDescent="0.3">
      <c r="B26" s="19" t="s">
        <v>993</v>
      </c>
      <c r="C26" s="18">
        <v>494296</v>
      </c>
      <c r="D26" s="16">
        <v>-0.5218830396638936</v>
      </c>
      <c r="E26" s="118" t="s">
        <v>1079</v>
      </c>
      <c r="F26" s="18">
        <v>538288</v>
      </c>
      <c r="G26" s="17">
        <v>43992</v>
      </c>
      <c r="I26" s="117" t="s">
        <v>916</v>
      </c>
      <c r="J26" s="116">
        <v>4.5999999999999996</v>
      </c>
      <c r="K26" s="115" t="s">
        <v>1078</v>
      </c>
      <c r="L26" s="114">
        <v>9</v>
      </c>
      <c r="M26" s="113" t="s">
        <v>1077</v>
      </c>
    </row>
    <row r="27" spans="2:13" ht="18" customHeight="1" x14ac:dyDescent="0.3">
      <c r="B27" s="37" t="s">
        <v>980</v>
      </c>
      <c r="C27" s="38">
        <v>12406069</v>
      </c>
      <c r="D27" s="112"/>
      <c r="E27" s="112"/>
      <c r="F27" s="112"/>
      <c r="G27" s="112"/>
    </row>
    <row r="28" spans="2:13" ht="10.050000000000001" customHeight="1" x14ac:dyDescent="0.3"/>
    <row r="29" spans="2:13" ht="22.05" customHeight="1" x14ac:dyDescent="0.3">
      <c r="B29" s="111" t="s">
        <v>1076</v>
      </c>
      <c r="C29" s="12"/>
      <c r="D29" s="12"/>
      <c r="E29" s="12"/>
      <c r="F29" s="12"/>
      <c r="G29" s="12"/>
      <c r="I29" s="110" t="s">
        <v>1075</v>
      </c>
      <c r="J29" s="12"/>
      <c r="K29" s="12"/>
      <c r="L29" s="12"/>
      <c r="M29" s="12"/>
    </row>
    <row r="30" spans="2:13" ht="18" customHeight="1" x14ac:dyDescent="0.3">
      <c r="B30" s="70" t="s">
        <v>1</v>
      </c>
      <c r="C30" s="70" t="s">
        <v>1074</v>
      </c>
      <c r="D30" s="70" t="s">
        <v>1070</v>
      </c>
      <c r="E30" s="70" t="s">
        <v>1073</v>
      </c>
      <c r="F30" s="70" t="s">
        <v>1072</v>
      </c>
      <c r="G30" s="70" t="s">
        <v>1071</v>
      </c>
      <c r="I30" s="109" t="s">
        <v>903</v>
      </c>
      <c r="J30" s="109" t="s">
        <v>1070</v>
      </c>
      <c r="K30" s="109" t="s">
        <v>1069</v>
      </c>
      <c r="L30" s="109" t="s">
        <v>1068</v>
      </c>
      <c r="M30" s="109" t="s">
        <v>641</v>
      </c>
    </row>
    <row r="31" spans="2:13" ht="16.05" customHeight="1" x14ac:dyDescent="0.3">
      <c r="B31" s="80" t="s">
        <v>24</v>
      </c>
      <c r="C31" s="24">
        <v>1778992</v>
      </c>
      <c r="D31" s="79">
        <v>0.14339691323657799</v>
      </c>
      <c r="E31" s="78">
        <v>6709</v>
      </c>
      <c r="F31" s="77">
        <v>265.17</v>
      </c>
      <c r="G31" s="76" t="s">
        <v>1067</v>
      </c>
      <c r="I31" s="108" t="s">
        <v>915</v>
      </c>
      <c r="J31" s="107">
        <v>0.26250000000000001</v>
      </c>
      <c r="K31" s="106">
        <v>3256593</v>
      </c>
      <c r="L31" s="105" t="s">
        <v>1066</v>
      </c>
      <c r="M31" s="104" t="s">
        <v>1056</v>
      </c>
    </row>
    <row r="32" spans="2:13" ht="16.05" customHeight="1" x14ac:dyDescent="0.3">
      <c r="B32" s="75" t="s">
        <v>33</v>
      </c>
      <c r="C32" s="18">
        <v>1429160</v>
      </c>
      <c r="D32" s="74">
        <v>0.11519845649738041</v>
      </c>
      <c r="E32" s="73">
        <v>7205</v>
      </c>
      <c r="F32" s="72">
        <v>198.36</v>
      </c>
      <c r="G32" s="71" t="s">
        <v>1065</v>
      </c>
      <c r="I32" s="103" t="s">
        <v>911</v>
      </c>
      <c r="J32" s="102">
        <v>0.24809999999999999</v>
      </c>
      <c r="K32" s="101">
        <v>3077946</v>
      </c>
      <c r="L32" s="100" t="s">
        <v>1064</v>
      </c>
      <c r="M32" s="99" t="s">
        <v>1056</v>
      </c>
    </row>
    <row r="33" spans="2:15" ht="16.05" customHeight="1" x14ac:dyDescent="0.3">
      <c r="B33" s="80" t="s">
        <v>28</v>
      </c>
      <c r="C33" s="24">
        <v>1423061</v>
      </c>
      <c r="D33" s="79">
        <v>0.114706842272117</v>
      </c>
      <c r="E33" s="78">
        <v>5618</v>
      </c>
      <c r="F33" s="77">
        <v>253.3</v>
      </c>
      <c r="G33" s="76" t="s">
        <v>1063</v>
      </c>
      <c r="I33" s="98" t="s">
        <v>913</v>
      </c>
      <c r="J33" s="97">
        <v>0.21790000000000001</v>
      </c>
      <c r="K33" s="96">
        <v>2703282</v>
      </c>
      <c r="L33" s="95" t="s">
        <v>1062</v>
      </c>
      <c r="M33" s="94" t="s">
        <v>1061</v>
      </c>
    </row>
    <row r="34" spans="2:15" ht="16.05" customHeight="1" x14ac:dyDescent="0.3">
      <c r="B34" s="75" t="s">
        <v>14</v>
      </c>
      <c r="C34" s="18">
        <v>1479519</v>
      </c>
      <c r="D34" s="74">
        <v>0.1192576794470513</v>
      </c>
      <c r="E34" s="73">
        <v>5451</v>
      </c>
      <c r="F34" s="72">
        <v>271.42</v>
      </c>
      <c r="G34" s="71" t="s">
        <v>1060</v>
      </c>
      <c r="I34" s="93" t="s">
        <v>908</v>
      </c>
      <c r="J34" s="92">
        <v>0.1313</v>
      </c>
      <c r="K34" s="46">
        <v>1628917</v>
      </c>
      <c r="L34" s="91" t="s">
        <v>1059</v>
      </c>
      <c r="M34" s="90" t="s">
        <v>1056</v>
      </c>
    </row>
    <row r="35" spans="2:15" ht="16.05" customHeight="1" x14ac:dyDescent="0.3">
      <c r="B35" s="80" t="s">
        <v>46</v>
      </c>
      <c r="C35" s="24">
        <v>1553723</v>
      </c>
      <c r="D35" s="79">
        <v>0.12523894555156831</v>
      </c>
      <c r="E35" s="78">
        <v>5679</v>
      </c>
      <c r="F35" s="77">
        <v>273.58999999999997</v>
      </c>
      <c r="G35" s="76" t="s">
        <v>1058</v>
      </c>
      <c r="I35" s="89" t="s">
        <v>926</v>
      </c>
      <c r="J35" s="88">
        <v>0.1065</v>
      </c>
      <c r="K35" s="41">
        <v>1321246</v>
      </c>
      <c r="L35" s="87" t="s">
        <v>1057</v>
      </c>
      <c r="M35" s="86" t="s">
        <v>1056</v>
      </c>
    </row>
    <row r="36" spans="2:15" ht="16.05" customHeight="1" x14ac:dyDescent="0.3">
      <c r="B36" s="75" t="s">
        <v>19</v>
      </c>
      <c r="C36" s="18">
        <v>1011587</v>
      </c>
      <c r="D36" s="74">
        <v>8.1539688357367676E-2</v>
      </c>
      <c r="E36" s="73">
        <v>5816</v>
      </c>
      <c r="F36" s="72">
        <v>173.93</v>
      </c>
      <c r="G36" s="71" t="s">
        <v>1055</v>
      </c>
      <c r="I36" s="85" t="s">
        <v>964</v>
      </c>
      <c r="J36" s="84">
        <v>3.3599999999999998E-2</v>
      </c>
      <c r="K36" s="83">
        <v>416844</v>
      </c>
      <c r="L36" s="82" t="s">
        <v>1054</v>
      </c>
      <c r="M36" s="81" t="s">
        <v>1053</v>
      </c>
    </row>
    <row r="37" spans="2:15" ht="16.05" customHeight="1" x14ac:dyDescent="0.3">
      <c r="B37" s="80" t="s">
        <v>30</v>
      </c>
      <c r="C37" s="24">
        <v>1272711</v>
      </c>
      <c r="D37" s="79">
        <v>0.10258777377427129</v>
      </c>
      <c r="E37" s="78">
        <v>4936</v>
      </c>
      <c r="F37" s="77">
        <v>257.83999999999997</v>
      </c>
      <c r="G37" s="76" t="s">
        <v>1052</v>
      </c>
    </row>
    <row r="38" spans="2:15" ht="16.05" customHeight="1" x14ac:dyDescent="0.3">
      <c r="B38" s="75" t="s">
        <v>16</v>
      </c>
      <c r="C38" s="18">
        <v>1048188</v>
      </c>
      <c r="D38" s="74">
        <v>8.4489937948918389E-2</v>
      </c>
      <c r="E38" s="73">
        <v>3261</v>
      </c>
      <c r="F38" s="72">
        <v>321.43</v>
      </c>
      <c r="G38" s="71" t="s">
        <v>1051</v>
      </c>
    </row>
    <row r="39" spans="2:15" ht="16.05" customHeight="1" x14ac:dyDescent="0.3">
      <c r="B39" s="80" t="s">
        <v>11</v>
      </c>
      <c r="C39" s="24">
        <v>992358</v>
      </c>
      <c r="D39" s="79">
        <v>7.998972115986136E-2</v>
      </c>
      <c r="E39" s="78">
        <v>4206</v>
      </c>
      <c r="F39" s="77">
        <v>235.94</v>
      </c>
      <c r="G39" s="76" t="s">
        <v>1050</v>
      </c>
    </row>
    <row r="40" spans="2:15" ht="16.05" customHeight="1" x14ac:dyDescent="0.3">
      <c r="B40" s="75" t="s">
        <v>8</v>
      </c>
      <c r="C40" s="18">
        <v>416770</v>
      </c>
      <c r="D40" s="74">
        <v>3.3594041754886263E-2</v>
      </c>
      <c r="E40" s="73">
        <v>2248</v>
      </c>
      <c r="F40" s="72">
        <v>185.4</v>
      </c>
      <c r="G40" s="71" t="s">
        <v>1049</v>
      </c>
    </row>
    <row r="41" spans="2:15" ht="18" customHeight="1" x14ac:dyDescent="0.3">
      <c r="B41" s="70" t="s">
        <v>980</v>
      </c>
      <c r="C41" s="69">
        <v>12406069</v>
      </c>
      <c r="D41" s="68">
        <v>1</v>
      </c>
      <c r="E41" s="67">
        <v>51129</v>
      </c>
      <c r="F41" s="66"/>
      <c r="G41" s="66"/>
    </row>
    <row r="42" spans="2:15" ht="10.050000000000001" customHeight="1" x14ac:dyDescent="0.3"/>
    <row r="43" spans="2:15" ht="22.05" customHeight="1" x14ac:dyDescent="0.3">
      <c r="B43" s="65" t="s">
        <v>1048</v>
      </c>
      <c r="C43" s="12"/>
      <c r="D43" s="12"/>
      <c r="E43" s="12"/>
      <c r="F43" s="12"/>
      <c r="G43" s="12"/>
      <c r="H43" s="12"/>
      <c r="I43" s="12"/>
      <c r="J43" s="12"/>
      <c r="K43" s="12"/>
      <c r="L43" s="12"/>
      <c r="M43" s="12"/>
    </row>
    <row r="44" spans="2:15" ht="19.95" customHeight="1" x14ac:dyDescent="0.3">
      <c r="B44" s="64" t="s">
        <v>2</v>
      </c>
      <c r="C44" s="64" t="s">
        <v>1047</v>
      </c>
      <c r="D44" s="64" t="s">
        <v>1046</v>
      </c>
      <c r="E44" s="64" t="s">
        <v>1045</v>
      </c>
      <c r="F44" s="64" t="s">
        <v>1044</v>
      </c>
      <c r="G44" s="64" t="s">
        <v>28</v>
      </c>
      <c r="H44" s="64" t="s">
        <v>1043</v>
      </c>
      <c r="I44" s="64" t="s">
        <v>1042</v>
      </c>
      <c r="J44" s="64" t="s">
        <v>46</v>
      </c>
      <c r="K44" s="64" t="s">
        <v>911</v>
      </c>
      <c r="L44" s="64" t="s">
        <v>1041</v>
      </c>
      <c r="M44" s="64" t="s">
        <v>11</v>
      </c>
      <c r="N44" s="64" t="s">
        <v>1040</v>
      </c>
      <c r="O44" s="64" t="s">
        <v>14</v>
      </c>
    </row>
    <row r="45" spans="2:15" ht="18" customHeight="1" x14ac:dyDescent="0.3">
      <c r="B45" s="63" t="s">
        <v>12</v>
      </c>
      <c r="C45" s="62">
        <v>22678</v>
      </c>
      <c r="D45" s="61">
        <v>5518326</v>
      </c>
      <c r="E45" s="60" t="s">
        <v>1039</v>
      </c>
      <c r="F45" s="59">
        <v>1550</v>
      </c>
      <c r="G45" s="59">
        <v>1608</v>
      </c>
      <c r="H45" s="59">
        <v>1762</v>
      </c>
      <c r="I45" s="59">
        <v>295</v>
      </c>
      <c r="J45" s="59">
        <v>2699</v>
      </c>
      <c r="K45" s="59">
        <v>2588</v>
      </c>
      <c r="L45" s="59">
        <v>3180</v>
      </c>
      <c r="M45" s="59">
        <v>2247</v>
      </c>
      <c r="N45" s="59">
        <v>2757</v>
      </c>
      <c r="O45" s="59">
        <v>3992</v>
      </c>
    </row>
    <row r="46" spans="2:15" ht="18" customHeight="1" x14ac:dyDescent="0.3">
      <c r="B46" s="58" t="s">
        <v>17</v>
      </c>
      <c r="C46" s="57">
        <v>22913</v>
      </c>
      <c r="D46" s="56">
        <v>5316735</v>
      </c>
      <c r="E46" s="55" t="s">
        <v>1038</v>
      </c>
      <c r="F46" s="54">
        <v>3482</v>
      </c>
      <c r="G46" s="54">
        <v>770</v>
      </c>
      <c r="H46" s="54">
        <v>2288</v>
      </c>
      <c r="I46" s="54">
        <v>2024</v>
      </c>
      <c r="J46" s="54">
        <v>939</v>
      </c>
      <c r="K46" s="54">
        <v>3916</v>
      </c>
      <c r="L46" s="54">
        <v>1913</v>
      </c>
      <c r="M46" s="54">
        <v>733</v>
      </c>
      <c r="N46" s="54">
        <v>4631</v>
      </c>
      <c r="O46" s="54">
        <v>2217</v>
      </c>
    </row>
    <row r="47" spans="2:15" ht="18" customHeight="1" x14ac:dyDescent="0.3">
      <c r="B47" s="53" t="s">
        <v>26</v>
      </c>
      <c r="C47" s="52">
        <v>18982</v>
      </c>
      <c r="D47" s="51">
        <v>5345001</v>
      </c>
      <c r="E47" s="50" t="s">
        <v>1037</v>
      </c>
      <c r="F47" s="49">
        <v>2342</v>
      </c>
      <c r="G47" s="49">
        <v>617</v>
      </c>
      <c r="H47" s="49">
        <v>3729</v>
      </c>
      <c r="I47" s="49">
        <v>896</v>
      </c>
      <c r="J47" s="49">
        <v>1607</v>
      </c>
      <c r="K47" s="49">
        <v>979</v>
      </c>
      <c r="L47" s="49">
        <v>1482</v>
      </c>
      <c r="M47" s="49">
        <v>3952</v>
      </c>
      <c r="N47" s="49">
        <v>3211</v>
      </c>
      <c r="O47" s="49">
        <v>167</v>
      </c>
    </row>
    <row r="48" spans="2:15" ht="18" customHeight="1" x14ac:dyDescent="0.3">
      <c r="B48" s="48" t="s">
        <v>22</v>
      </c>
      <c r="C48" s="47">
        <v>16404</v>
      </c>
      <c r="D48" s="46">
        <v>3453029</v>
      </c>
      <c r="E48" s="45" t="s">
        <v>1036</v>
      </c>
      <c r="F48" s="44">
        <v>351</v>
      </c>
      <c r="G48" s="44">
        <v>3936</v>
      </c>
      <c r="H48" s="44">
        <v>1599</v>
      </c>
      <c r="I48" s="44">
        <v>1515</v>
      </c>
      <c r="J48" s="44">
        <v>1974</v>
      </c>
      <c r="K48" s="44">
        <v>2075</v>
      </c>
      <c r="L48" s="44">
        <v>1442</v>
      </c>
      <c r="M48" s="44">
        <v>1622</v>
      </c>
      <c r="N48" s="44">
        <v>806</v>
      </c>
      <c r="O48" s="44">
        <v>1084</v>
      </c>
    </row>
    <row r="49" spans="2:15" ht="18" customHeight="1" x14ac:dyDescent="0.3">
      <c r="B49" s="43" t="s">
        <v>9</v>
      </c>
      <c r="C49" s="42">
        <v>22404</v>
      </c>
      <c r="D49" s="41">
        <v>5065831</v>
      </c>
      <c r="E49" s="40" t="s">
        <v>1035</v>
      </c>
      <c r="F49" s="39">
        <v>3177</v>
      </c>
      <c r="G49" s="39">
        <v>603</v>
      </c>
      <c r="H49" s="39">
        <v>892</v>
      </c>
      <c r="I49" s="39">
        <v>4011</v>
      </c>
      <c r="J49" s="39">
        <v>2270</v>
      </c>
      <c r="K49" s="39">
        <v>758</v>
      </c>
      <c r="L49" s="39">
        <v>3925</v>
      </c>
      <c r="M49" s="39">
        <v>1466</v>
      </c>
      <c r="N49" s="39">
        <v>1618</v>
      </c>
      <c r="O49" s="39">
        <v>3684</v>
      </c>
    </row>
    <row r="50" spans="2:15" ht="18" customHeight="1" x14ac:dyDescent="0.3">
      <c r="B50" s="37" t="s">
        <v>980</v>
      </c>
      <c r="C50" s="36">
        <v>103381</v>
      </c>
      <c r="D50" s="38">
        <v>24681213</v>
      </c>
      <c r="E50" s="37" t="s">
        <v>1034</v>
      </c>
      <c r="F50" s="36">
        <v>10902</v>
      </c>
      <c r="G50" s="36">
        <v>7534</v>
      </c>
      <c r="H50" s="36">
        <v>10270</v>
      </c>
      <c r="I50" s="36">
        <v>8741</v>
      </c>
      <c r="J50" s="36">
        <v>9489</v>
      </c>
      <c r="K50" s="36">
        <v>10316</v>
      </c>
      <c r="L50" s="36">
        <v>11942</v>
      </c>
      <c r="M50" s="36">
        <v>10020</v>
      </c>
      <c r="N50" s="36">
        <v>13023</v>
      </c>
      <c r="O50" s="36">
        <v>11144</v>
      </c>
    </row>
    <row r="51" spans="2:15" ht="10.050000000000001" customHeight="1" x14ac:dyDescent="0.3"/>
    <row r="52" spans="2:15" ht="22.05" customHeight="1" x14ac:dyDescent="0.3">
      <c r="B52" s="35" t="s">
        <v>1033</v>
      </c>
      <c r="C52" s="12"/>
      <c r="D52" s="12"/>
      <c r="E52" s="12"/>
      <c r="F52" s="12"/>
      <c r="G52" s="12"/>
      <c r="H52" s="12"/>
      <c r="I52" s="12"/>
      <c r="J52" s="12"/>
      <c r="K52" s="12"/>
      <c r="L52" s="12"/>
      <c r="M52" s="12"/>
    </row>
    <row r="53" spans="2:15" ht="18" customHeight="1" x14ac:dyDescent="0.3">
      <c r="B53" s="34" t="s">
        <v>1004</v>
      </c>
      <c r="C53" s="34" t="s">
        <v>1032</v>
      </c>
      <c r="D53" s="34" t="s">
        <v>1031</v>
      </c>
      <c r="E53" s="34" t="s">
        <v>1030</v>
      </c>
      <c r="F53" s="34" t="s">
        <v>1029</v>
      </c>
      <c r="G53" s="34" t="s">
        <v>1028</v>
      </c>
      <c r="H53" s="34" t="s">
        <v>1027</v>
      </c>
    </row>
    <row r="54" spans="2:15" ht="16.05" customHeight="1" x14ac:dyDescent="0.3">
      <c r="B54" s="25" t="s">
        <v>1026</v>
      </c>
      <c r="C54" s="24">
        <v>1127808</v>
      </c>
      <c r="D54" s="24">
        <v>1121722.92</v>
      </c>
      <c r="E54" s="29">
        <v>-6085.0800000000754</v>
      </c>
      <c r="F54" s="28">
        <v>-5.3954928498468483E-3</v>
      </c>
      <c r="G54" s="27" t="s">
        <v>1017</v>
      </c>
      <c r="H54" s="26" t="s">
        <v>1016</v>
      </c>
    </row>
    <row r="55" spans="2:15" ht="16.05" customHeight="1" x14ac:dyDescent="0.3">
      <c r="B55" s="19" t="s">
        <v>1025</v>
      </c>
      <c r="C55" s="18">
        <v>708923</v>
      </c>
      <c r="D55" s="18">
        <v>634312.72</v>
      </c>
      <c r="E55" s="33">
        <v>-74610.280000000028</v>
      </c>
      <c r="F55" s="32">
        <v>-0.105244547010042</v>
      </c>
      <c r="G55" s="31" t="s">
        <v>1017</v>
      </c>
      <c r="H55" s="30" t="s">
        <v>1016</v>
      </c>
    </row>
    <row r="56" spans="2:15" ht="16.05" customHeight="1" x14ac:dyDescent="0.3">
      <c r="B56" s="25" t="s">
        <v>1024</v>
      </c>
      <c r="C56" s="24">
        <v>1210333</v>
      </c>
      <c r="D56" s="24">
        <v>1436405.8</v>
      </c>
      <c r="E56" s="23">
        <v>226072.8</v>
      </c>
      <c r="F56" s="22">
        <v>0.18678562015577541</v>
      </c>
      <c r="G56" s="21" t="s">
        <v>1012</v>
      </c>
      <c r="H56" s="20" t="s">
        <v>1011</v>
      </c>
    </row>
    <row r="57" spans="2:15" ht="16.05" customHeight="1" x14ac:dyDescent="0.3">
      <c r="B57" s="19" t="s">
        <v>1023</v>
      </c>
      <c r="C57" s="18">
        <v>945460</v>
      </c>
      <c r="D57" s="18">
        <v>1044033.12</v>
      </c>
      <c r="E57" s="17">
        <v>98573.119999999995</v>
      </c>
      <c r="F57" s="16">
        <v>0.10425942927252339</v>
      </c>
      <c r="G57" s="15" t="s">
        <v>1012</v>
      </c>
      <c r="H57" s="14" t="s">
        <v>1011</v>
      </c>
    </row>
    <row r="58" spans="2:15" ht="16.05" customHeight="1" x14ac:dyDescent="0.3">
      <c r="B58" s="25" t="s">
        <v>1022</v>
      </c>
      <c r="C58" s="24">
        <v>1073550</v>
      </c>
      <c r="D58" s="24">
        <v>1086456.52</v>
      </c>
      <c r="E58" s="23">
        <v>12906.52000000002</v>
      </c>
      <c r="F58" s="22">
        <v>1.2022281216524631E-2</v>
      </c>
      <c r="G58" s="21" t="s">
        <v>1012</v>
      </c>
      <c r="H58" s="20" t="s">
        <v>1011</v>
      </c>
    </row>
    <row r="59" spans="2:15" ht="16.05" customHeight="1" x14ac:dyDescent="0.3">
      <c r="B59" s="19" t="s">
        <v>1021</v>
      </c>
      <c r="C59" s="18">
        <v>494296</v>
      </c>
      <c r="D59" s="18">
        <v>657404</v>
      </c>
      <c r="E59" s="17">
        <v>163108</v>
      </c>
      <c r="F59" s="16">
        <v>0.32998041659248711</v>
      </c>
      <c r="G59" s="15" t="s">
        <v>1012</v>
      </c>
      <c r="H59" s="14" t="s">
        <v>1011</v>
      </c>
    </row>
    <row r="60" spans="2:15" ht="16.05" customHeight="1" x14ac:dyDescent="0.3">
      <c r="B60" s="25" t="s">
        <v>1020</v>
      </c>
      <c r="C60" s="24">
        <v>1743132</v>
      </c>
      <c r="D60" s="24">
        <v>1895543.08</v>
      </c>
      <c r="E60" s="23">
        <v>152411.0800000001</v>
      </c>
      <c r="F60" s="22">
        <v>8.7435191368180995E-2</v>
      </c>
      <c r="G60" s="21" t="s">
        <v>1012</v>
      </c>
      <c r="H60" s="20" t="s">
        <v>1011</v>
      </c>
    </row>
    <row r="61" spans="2:15" ht="16.05" customHeight="1" x14ac:dyDescent="0.3">
      <c r="B61" s="19" t="s">
        <v>1019</v>
      </c>
      <c r="C61" s="18">
        <v>915804</v>
      </c>
      <c r="D61" s="18">
        <v>980107.32</v>
      </c>
      <c r="E61" s="17">
        <v>64303.319999999949</v>
      </c>
      <c r="F61" s="16">
        <v>7.0215155207882851E-2</v>
      </c>
      <c r="G61" s="15" t="s">
        <v>1012</v>
      </c>
      <c r="H61" s="14" t="s">
        <v>1011</v>
      </c>
    </row>
    <row r="62" spans="2:15" ht="16.05" customHeight="1" x14ac:dyDescent="0.3">
      <c r="B62" s="25" t="s">
        <v>1018</v>
      </c>
      <c r="C62" s="24">
        <v>792360</v>
      </c>
      <c r="D62" s="24">
        <v>662515.68000000005</v>
      </c>
      <c r="E62" s="29">
        <v>-129844.31999999991</v>
      </c>
      <c r="F62" s="28">
        <v>-0.16387036195668631</v>
      </c>
      <c r="G62" s="27" t="s">
        <v>1017</v>
      </c>
      <c r="H62" s="26" t="s">
        <v>1016</v>
      </c>
    </row>
    <row r="63" spans="2:15" ht="16.05" customHeight="1" x14ac:dyDescent="0.3">
      <c r="B63" s="19" t="s">
        <v>1015</v>
      </c>
      <c r="C63" s="18">
        <v>864086</v>
      </c>
      <c r="D63" s="18">
        <v>938369.04</v>
      </c>
      <c r="E63" s="17">
        <v>74283.040000000037</v>
      </c>
      <c r="F63" s="16">
        <v>8.5967183821980722E-2</v>
      </c>
      <c r="G63" s="15" t="s">
        <v>1012</v>
      </c>
      <c r="H63" s="14" t="s">
        <v>1011</v>
      </c>
    </row>
    <row r="64" spans="2:15" ht="16.05" customHeight="1" x14ac:dyDescent="0.3">
      <c r="B64" s="25" t="s">
        <v>1014</v>
      </c>
      <c r="C64" s="24">
        <v>1541075</v>
      </c>
      <c r="D64" s="24">
        <v>1653271.08</v>
      </c>
      <c r="E64" s="23">
        <v>112196.0800000001</v>
      </c>
      <c r="F64" s="22">
        <v>7.280377658452708E-2</v>
      </c>
      <c r="G64" s="21" t="s">
        <v>1012</v>
      </c>
      <c r="H64" s="20" t="s">
        <v>1011</v>
      </c>
    </row>
    <row r="65" spans="1:15" ht="16.05" customHeight="1" x14ac:dyDescent="0.3">
      <c r="B65" s="19" t="s">
        <v>1013</v>
      </c>
      <c r="C65" s="18">
        <v>971692</v>
      </c>
      <c r="D65" s="18">
        <v>1250323.24</v>
      </c>
      <c r="E65" s="17">
        <v>278631.24</v>
      </c>
      <c r="F65" s="16">
        <v>0.28674851701979642</v>
      </c>
      <c r="G65" s="15" t="s">
        <v>1012</v>
      </c>
      <c r="H65" s="14" t="s">
        <v>1011</v>
      </c>
    </row>
    <row r="67" spans="1:15" ht="10.050000000000001" customHeight="1" x14ac:dyDescent="0.3"/>
    <row r="68" spans="1:15" ht="16.05" customHeight="1" x14ac:dyDescent="0.3">
      <c r="A68" s="13"/>
      <c r="B68" s="12"/>
      <c r="C68" s="12"/>
      <c r="D68" s="12"/>
      <c r="E68" s="12"/>
      <c r="F68" s="12"/>
      <c r="G68" s="12"/>
      <c r="H68" s="12"/>
      <c r="I68" s="12"/>
      <c r="J68" s="12"/>
      <c r="K68" s="12"/>
      <c r="L68" s="12"/>
      <c r="M68" s="12"/>
      <c r="N68" s="12"/>
      <c r="O68" s="12"/>
    </row>
  </sheetData>
  <mergeCells count="29">
    <mergeCell ref="B29:G29"/>
    <mergeCell ref="F7:G7"/>
    <mergeCell ref="B43:M43"/>
    <mergeCell ref="D8:E9"/>
    <mergeCell ref="L10:M10"/>
    <mergeCell ref="B10:C10"/>
    <mergeCell ref="F8:G9"/>
    <mergeCell ref="D10:E10"/>
    <mergeCell ref="B7:C7"/>
    <mergeCell ref="L7:M7"/>
    <mergeCell ref="A4:O4"/>
    <mergeCell ref="J8:K9"/>
    <mergeCell ref="D7:E7"/>
    <mergeCell ref="H7:I7"/>
    <mergeCell ref="J7:K7"/>
    <mergeCell ref="B13:G13"/>
    <mergeCell ref="F10:G10"/>
    <mergeCell ref="H10:I10"/>
    <mergeCell ref="J10:K10"/>
    <mergeCell ref="A68:O68"/>
    <mergeCell ref="B8:C9"/>
    <mergeCell ref="I29:M29"/>
    <mergeCell ref="A2:O3"/>
    <mergeCell ref="A1:O1"/>
    <mergeCell ref="I13:M13"/>
    <mergeCell ref="B52:M52"/>
    <mergeCell ref="L8:M9"/>
    <mergeCell ref="A5:O5"/>
    <mergeCell ref="H8:I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9CFE8-FCCD-4270-9EBC-2C280CE2721C}">
  <sheetPr>
    <tabColor rgb="FF6C3483"/>
  </sheetPr>
  <dimension ref="A1:H55"/>
  <sheetViews>
    <sheetView showGridLines="0" workbookViewId="0">
      <pane xSplit="1" ySplit="4" topLeftCell="B5" activePane="bottomRight" state="frozen"/>
      <selection pane="topRight"/>
      <selection pane="bottomLeft"/>
      <selection pane="bottomRight" activeCell="M19" sqref="M19"/>
    </sheetView>
  </sheetViews>
  <sheetFormatPr defaultRowHeight="14.4" x14ac:dyDescent="0.3"/>
  <cols>
    <col min="1" max="1" width="1.44140625" customWidth="1"/>
    <col min="2" max="2" width="28" customWidth="1"/>
    <col min="3" max="3" width="12" customWidth="1"/>
    <col min="4" max="7" width="14" customWidth="1"/>
    <col min="8" max="8" width="18.21875" customWidth="1"/>
  </cols>
  <sheetData>
    <row r="1" spans="1:8" ht="28.05" customHeight="1" x14ac:dyDescent="0.3">
      <c r="A1" s="210" t="s">
        <v>1142</v>
      </c>
      <c r="B1" s="12"/>
      <c r="C1" s="12"/>
      <c r="D1" s="12"/>
      <c r="E1" s="12"/>
      <c r="F1" s="12"/>
      <c r="G1" s="12"/>
      <c r="H1" s="12"/>
    </row>
    <row r="2" spans="1:8" x14ac:dyDescent="0.3">
      <c r="A2" s="12"/>
      <c r="B2" s="12"/>
      <c r="C2" s="12"/>
      <c r="D2" s="12"/>
      <c r="E2" s="12"/>
      <c r="F2" s="12"/>
      <c r="G2" s="12"/>
      <c r="H2" s="12"/>
    </row>
    <row r="3" spans="1:8" ht="6" customHeight="1" x14ac:dyDescent="0.3"/>
    <row r="4" spans="1:8" ht="22.05" customHeight="1" x14ac:dyDescent="0.3">
      <c r="B4" s="187" t="s">
        <v>1095</v>
      </c>
      <c r="C4" s="187" t="s">
        <v>1141</v>
      </c>
      <c r="D4" s="187" t="s">
        <v>1093</v>
      </c>
      <c r="E4" s="187" t="s">
        <v>1092</v>
      </c>
      <c r="F4" s="187" t="s">
        <v>1091</v>
      </c>
      <c r="G4" s="187" t="s">
        <v>1140</v>
      </c>
      <c r="H4" s="187" t="s">
        <v>1139</v>
      </c>
    </row>
    <row r="5" spans="1:8" ht="16.05" customHeight="1" x14ac:dyDescent="0.3">
      <c r="B5" s="202" t="s">
        <v>962</v>
      </c>
      <c r="C5" s="201">
        <v>4.0999999999999996</v>
      </c>
      <c r="D5" s="200" t="s">
        <v>1078</v>
      </c>
      <c r="E5" s="114">
        <v>12</v>
      </c>
      <c r="F5" s="199" t="s">
        <v>1077</v>
      </c>
      <c r="G5" s="114" t="s">
        <v>1130</v>
      </c>
      <c r="H5" s="198" t="s">
        <v>1129</v>
      </c>
    </row>
    <row r="6" spans="1:8" ht="16.05" customHeight="1" x14ac:dyDescent="0.3">
      <c r="B6" s="207" t="s">
        <v>948</v>
      </c>
      <c r="C6" s="206">
        <v>5</v>
      </c>
      <c r="D6" s="205" t="s">
        <v>1137</v>
      </c>
      <c r="E6" s="127">
        <v>11</v>
      </c>
      <c r="F6" s="204" t="s">
        <v>1088</v>
      </c>
      <c r="G6" s="127" t="s">
        <v>1131</v>
      </c>
      <c r="H6" s="203" t="s">
        <v>1126</v>
      </c>
    </row>
    <row r="7" spans="1:8" ht="16.05" customHeight="1" x14ac:dyDescent="0.3">
      <c r="B7" s="93" t="s">
        <v>959</v>
      </c>
      <c r="C7" s="197">
        <v>4.9000000000000004</v>
      </c>
      <c r="D7" s="196" t="s">
        <v>1087</v>
      </c>
      <c r="E7" s="122">
        <v>18</v>
      </c>
      <c r="F7" s="195" t="s">
        <v>1084</v>
      </c>
      <c r="G7" s="122" t="s">
        <v>1131</v>
      </c>
      <c r="H7" s="194" t="s">
        <v>1126</v>
      </c>
    </row>
    <row r="8" spans="1:8" ht="16.05" customHeight="1" x14ac:dyDescent="0.3">
      <c r="B8" s="193" t="s">
        <v>920</v>
      </c>
      <c r="C8" s="192">
        <v>4.0999999999999996</v>
      </c>
      <c r="D8" s="191" t="s">
        <v>1078</v>
      </c>
      <c r="E8" s="189">
        <v>25</v>
      </c>
      <c r="F8" s="190" t="s">
        <v>1123</v>
      </c>
      <c r="G8" s="189" t="s">
        <v>1130</v>
      </c>
      <c r="H8" s="209" t="s">
        <v>1129</v>
      </c>
    </row>
    <row r="9" spans="1:8" ht="16.05" customHeight="1" x14ac:dyDescent="0.3">
      <c r="B9" s="93" t="s">
        <v>939</v>
      </c>
      <c r="C9" s="197">
        <v>4.7</v>
      </c>
      <c r="D9" s="196" t="s">
        <v>1087</v>
      </c>
      <c r="E9" s="122">
        <v>4</v>
      </c>
      <c r="F9" s="195" t="s">
        <v>1084</v>
      </c>
      <c r="G9" s="122" t="s">
        <v>1127</v>
      </c>
      <c r="H9" s="194" t="s">
        <v>1126</v>
      </c>
    </row>
    <row r="10" spans="1:8" ht="16.05" customHeight="1" x14ac:dyDescent="0.3">
      <c r="B10" s="93" t="s">
        <v>921</v>
      </c>
      <c r="C10" s="197">
        <v>4.9000000000000004</v>
      </c>
      <c r="D10" s="196" t="s">
        <v>1087</v>
      </c>
      <c r="E10" s="122">
        <v>9</v>
      </c>
      <c r="F10" s="195" t="s">
        <v>1084</v>
      </c>
      <c r="G10" s="122" t="s">
        <v>1131</v>
      </c>
      <c r="H10" s="194" t="s">
        <v>1126</v>
      </c>
    </row>
    <row r="11" spans="1:8" ht="16.05" customHeight="1" x14ac:dyDescent="0.3">
      <c r="B11" s="93" t="s">
        <v>909</v>
      </c>
      <c r="C11" s="197">
        <v>4.5</v>
      </c>
      <c r="D11" s="196" t="s">
        <v>1087</v>
      </c>
      <c r="E11" s="122">
        <v>6</v>
      </c>
      <c r="F11" s="195" t="s">
        <v>1084</v>
      </c>
      <c r="G11" s="122" t="s">
        <v>1132</v>
      </c>
      <c r="H11" s="194" t="s">
        <v>1126</v>
      </c>
    </row>
    <row r="12" spans="1:8" ht="16.05" customHeight="1" x14ac:dyDescent="0.3">
      <c r="B12" s="193" t="s">
        <v>968</v>
      </c>
      <c r="C12" s="192">
        <v>3.5</v>
      </c>
      <c r="D12" s="191" t="s">
        <v>1124</v>
      </c>
      <c r="E12" s="189">
        <v>10</v>
      </c>
      <c r="F12" s="190" t="s">
        <v>1123</v>
      </c>
      <c r="G12" s="189" t="s">
        <v>1122</v>
      </c>
      <c r="H12" s="188" t="s">
        <v>1121</v>
      </c>
    </row>
    <row r="13" spans="1:8" ht="16.05" customHeight="1" x14ac:dyDescent="0.3">
      <c r="B13" s="193" t="s">
        <v>935</v>
      </c>
      <c r="C13" s="192">
        <v>3.8</v>
      </c>
      <c r="D13" s="191" t="s">
        <v>1124</v>
      </c>
      <c r="E13" s="189">
        <v>23</v>
      </c>
      <c r="F13" s="190" t="s">
        <v>1123</v>
      </c>
      <c r="G13" s="189" t="s">
        <v>1138</v>
      </c>
      <c r="H13" s="188" t="s">
        <v>1121</v>
      </c>
    </row>
    <row r="14" spans="1:8" ht="16.05" customHeight="1" x14ac:dyDescent="0.3">
      <c r="B14" s="202" t="s">
        <v>940</v>
      </c>
      <c r="C14" s="201">
        <v>3.8</v>
      </c>
      <c r="D14" s="200" t="s">
        <v>1124</v>
      </c>
      <c r="E14" s="114">
        <v>5</v>
      </c>
      <c r="F14" s="199" t="s">
        <v>1077</v>
      </c>
      <c r="G14" s="114" t="s">
        <v>1138</v>
      </c>
      <c r="H14" s="208" t="s">
        <v>1121</v>
      </c>
    </row>
    <row r="15" spans="1:8" ht="16.05" customHeight="1" x14ac:dyDescent="0.3">
      <c r="B15" s="202" t="s">
        <v>918</v>
      </c>
      <c r="C15" s="201">
        <v>4.4000000000000004</v>
      </c>
      <c r="D15" s="200" t="s">
        <v>1078</v>
      </c>
      <c r="E15" s="114">
        <v>17</v>
      </c>
      <c r="F15" s="199" t="s">
        <v>1077</v>
      </c>
      <c r="G15" s="114" t="s">
        <v>1135</v>
      </c>
      <c r="H15" s="198" t="s">
        <v>1129</v>
      </c>
    </row>
    <row r="16" spans="1:8" ht="16.05" customHeight="1" x14ac:dyDescent="0.3">
      <c r="B16" s="202" t="s">
        <v>923</v>
      </c>
      <c r="C16" s="201">
        <v>4.0999999999999996</v>
      </c>
      <c r="D16" s="200" t="s">
        <v>1078</v>
      </c>
      <c r="E16" s="114">
        <v>5</v>
      </c>
      <c r="F16" s="199" t="s">
        <v>1077</v>
      </c>
      <c r="G16" s="114" t="s">
        <v>1130</v>
      </c>
      <c r="H16" s="198" t="s">
        <v>1129</v>
      </c>
    </row>
    <row r="17" spans="2:8" ht="16.05" customHeight="1" x14ac:dyDescent="0.3">
      <c r="B17" s="193" t="s">
        <v>970</v>
      </c>
      <c r="C17" s="192">
        <v>3.9</v>
      </c>
      <c r="D17" s="191" t="s">
        <v>1124</v>
      </c>
      <c r="E17" s="189">
        <v>19</v>
      </c>
      <c r="F17" s="190" t="s">
        <v>1123</v>
      </c>
      <c r="G17" s="189" t="s">
        <v>1125</v>
      </c>
      <c r="H17" s="188" t="s">
        <v>1121</v>
      </c>
    </row>
    <row r="18" spans="2:8" ht="16.05" customHeight="1" x14ac:dyDescent="0.3">
      <c r="B18" s="207" t="s">
        <v>944</v>
      </c>
      <c r="C18" s="206">
        <v>5</v>
      </c>
      <c r="D18" s="205" t="s">
        <v>1137</v>
      </c>
      <c r="E18" s="127">
        <v>10</v>
      </c>
      <c r="F18" s="204" t="s">
        <v>1088</v>
      </c>
      <c r="G18" s="127" t="s">
        <v>1131</v>
      </c>
      <c r="H18" s="203" t="s">
        <v>1126</v>
      </c>
    </row>
    <row r="19" spans="2:8" ht="16.05" customHeight="1" x14ac:dyDescent="0.3">
      <c r="B19" s="193" t="s">
        <v>971</v>
      </c>
      <c r="C19" s="192">
        <v>3.7</v>
      </c>
      <c r="D19" s="191" t="s">
        <v>1124</v>
      </c>
      <c r="E19" s="189">
        <v>20</v>
      </c>
      <c r="F19" s="190" t="s">
        <v>1123</v>
      </c>
      <c r="G19" s="189" t="s">
        <v>1133</v>
      </c>
      <c r="H19" s="188" t="s">
        <v>1121</v>
      </c>
    </row>
    <row r="20" spans="2:8" ht="16.05" customHeight="1" x14ac:dyDescent="0.3">
      <c r="B20" s="193" t="s">
        <v>950</v>
      </c>
      <c r="C20" s="192">
        <v>3.7</v>
      </c>
      <c r="D20" s="191" t="s">
        <v>1124</v>
      </c>
      <c r="E20" s="189">
        <v>13</v>
      </c>
      <c r="F20" s="190" t="s">
        <v>1123</v>
      </c>
      <c r="G20" s="189" t="s">
        <v>1133</v>
      </c>
      <c r="H20" s="188" t="s">
        <v>1121</v>
      </c>
    </row>
    <row r="21" spans="2:8" ht="16.05" customHeight="1" x14ac:dyDescent="0.3">
      <c r="B21" s="193" t="s">
        <v>912</v>
      </c>
      <c r="C21" s="192">
        <v>3.5</v>
      </c>
      <c r="D21" s="191" t="s">
        <v>1124</v>
      </c>
      <c r="E21" s="189">
        <v>16</v>
      </c>
      <c r="F21" s="190" t="s">
        <v>1123</v>
      </c>
      <c r="G21" s="189" t="s">
        <v>1122</v>
      </c>
      <c r="H21" s="188" t="s">
        <v>1121</v>
      </c>
    </row>
    <row r="22" spans="2:8" ht="16.05" customHeight="1" x14ac:dyDescent="0.3">
      <c r="B22" s="93" t="s">
        <v>949</v>
      </c>
      <c r="C22" s="197">
        <v>4.5</v>
      </c>
      <c r="D22" s="196" t="s">
        <v>1087</v>
      </c>
      <c r="E22" s="122">
        <v>6</v>
      </c>
      <c r="F22" s="195" t="s">
        <v>1084</v>
      </c>
      <c r="G22" s="122" t="s">
        <v>1132</v>
      </c>
      <c r="H22" s="194" t="s">
        <v>1126</v>
      </c>
    </row>
    <row r="23" spans="2:8" ht="16.05" customHeight="1" x14ac:dyDescent="0.3">
      <c r="B23" s="93" t="s">
        <v>954</v>
      </c>
      <c r="C23" s="197">
        <v>4.5999999999999996</v>
      </c>
      <c r="D23" s="196" t="s">
        <v>1087</v>
      </c>
      <c r="E23" s="122">
        <v>14</v>
      </c>
      <c r="F23" s="195" t="s">
        <v>1084</v>
      </c>
      <c r="G23" s="122" t="s">
        <v>1132</v>
      </c>
      <c r="H23" s="194" t="s">
        <v>1126</v>
      </c>
    </row>
    <row r="24" spans="2:8" ht="16.05" customHeight="1" x14ac:dyDescent="0.3">
      <c r="B24" s="193" t="s">
        <v>906</v>
      </c>
      <c r="C24" s="192">
        <v>3.9</v>
      </c>
      <c r="D24" s="191" t="s">
        <v>1124</v>
      </c>
      <c r="E24" s="189">
        <v>11</v>
      </c>
      <c r="F24" s="190" t="s">
        <v>1123</v>
      </c>
      <c r="G24" s="189" t="s">
        <v>1125</v>
      </c>
      <c r="H24" s="188" t="s">
        <v>1121</v>
      </c>
    </row>
    <row r="25" spans="2:8" ht="16.05" customHeight="1" x14ac:dyDescent="0.3">
      <c r="B25" s="202" t="s">
        <v>952</v>
      </c>
      <c r="C25" s="201">
        <v>4.3</v>
      </c>
      <c r="D25" s="200" t="s">
        <v>1078</v>
      </c>
      <c r="E25" s="114">
        <v>8</v>
      </c>
      <c r="F25" s="199" t="s">
        <v>1077</v>
      </c>
      <c r="G25" s="114" t="s">
        <v>1136</v>
      </c>
      <c r="H25" s="198" t="s">
        <v>1129</v>
      </c>
    </row>
    <row r="26" spans="2:8" ht="16.05" customHeight="1" x14ac:dyDescent="0.3">
      <c r="B26" s="202" t="s">
        <v>947</v>
      </c>
      <c r="C26" s="201">
        <v>4.0999999999999996</v>
      </c>
      <c r="D26" s="200" t="s">
        <v>1078</v>
      </c>
      <c r="E26" s="114">
        <v>5</v>
      </c>
      <c r="F26" s="199" t="s">
        <v>1077</v>
      </c>
      <c r="G26" s="114" t="s">
        <v>1130</v>
      </c>
      <c r="H26" s="198" t="s">
        <v>1129</v>
      </c>
    </row>
    <row r="27" spans="2:8" ht="16.05" customHeight="1" x14ac:dyDescent="0.3">
      <c r="B27" s="93" t="s">
        <v>960</v>
      </c>
      <c r="C27" s="197">
        <v>4.8</v>
      </c>
      <c r="D27" s="196" t="s">
        <v>1087</v>
      </c>
      <c r="E27" s="122">
        <v>19</v>
      </c>
      <c r="F27" s="195" t="s">
        <v>1084</v>
      </c>
      <c r="G27" s="122" t="s">
        <v>1128</v>
      </c>
      <c r="H27" s="194" t="s">
        <v>1126</v>
      </c>
    </row>
    <row r="28" spans="2:8" ht="16.05" customHeight="1" x14ac:dyDescent="0.3">
      <c r="B28" s="202" t="s">
        <v>963</v>
      </c>
      <c r="C28" s="201">
        <v>4.2</v>
      </c>
      <c r="D28" s="200" t="s">
        <v>1078</v>
      </c>
      <c r="E28" s="114">
        <v>19</v>
      </c>
      <c r="F28" s="199" t="s">
        <v>1077</v>
      </c>
      <c r="G28" s="114" t="s">
        <v>1134</v>
      </c>
      <c r="H28" s="198" t="s">
        <v>1129</v>
      </c>
    </row>
    <row r="29" spans="2:8" ht="16.05" customHeight="1" x14ac:dyDescent="0.3">
      <c r="B29" s="193" t="s">
        <v>942</v>
      </c>
      <c r="C29" s="192">
        <v>3.7</v>
      </c>
      <c r="D29" s="191" t="s">
        <v>1124</v>
      </c>
      <c r="E29" s="189">
        <v>11</v>
      </c>
      <c r="F29" s="190" t="s">
        <v>1123</v>
      </c>
      <c r="G29" s="189" t="s">
        <v>1133</v>
      </c>
      <c r="H29" s="188" t="s">
        <v>1121</v>
      </c>
    </row>
    <row r="30" spans="2:8" ht="16.05" customHeight="1" x14ac:dyDescent="0.3">
      <c r="B30" s="202" t="s">
        <v>914</v>
      </c>
      <c r="C30" s="201">
        <v>4.3</v>
      </c>
      <c r="D30" s="200" t="s">
        <v>1078</v>
      </c>
      <c r="E30" s="114">
        <v>10</v>
      </c>
      <c r="F30" s="199" t="s">
        <v>1077</v>
      </c>
      <c r="G30" s="114" t="s">
        <v>1136</v>
      </c>
      <c r="H30" s="198" t="s">
        <v>1129</v>
      </c>
    </row>
    <row r="31" spans="2:8" ht="16.05" customHeight="1" x14ac:dyDescent="0.3">
      <c r="B31" s="193" t="s">
        <v>925</v>
      </c>
      <c r="C31" s="192">
        <v>3.9</v>
      </c>
      <c r="D31" s="191" t="s">
        <v>1124</v>
      </c>
      <c r="E31" s="189">
        <v>22</v>
      </c>
      <c r="F31" s="190" t="s">
        <v>1123</v>
      </c>
      <c r="G31" s="189" t="s">
        <v>1125</v>
      </c>
      <c r="H31" s="188" t="s">
        <v>1121</v>
      </c>
    </row>
    <row r="32" spans="2:8" ht="16.05" customHeight="1" x14ac:dyDescent="0.3">
      <c r="B32" s="202" t="s">
        <v>927</v>
      </c>
      <c r="C32" s="201">
        <v>4.3</v>
      </c>
      <c r="D32" s="200" t="s">
        <v>1078</v>
      </c>
      <c r="E32" s="114">
        <v>17</v>
      </c>
      <c r="F32" s="199" t="s">
        <v>1077</v>
      </c>
      <c r="G32" s="114" t="s">
        <v>1136</v>
      </c>
      <c r="H32" s="198" t="s">
        <v>1129</v>
      </c>
    </row>
    <row r="33" spans="2:8" ht="16.05" customHeight="1" x14ac:dyDescent="0.3">
      <c r="B33" s="93" t="s">
        <v>958</v>
      </c>
      <c r="C33" s="197">
        <v>4.5999999999999996</v>
      </c>
      <c r="D33" s="196" t="s">
        <v>1087</v>
      </c>
      <c r="E33" s="122">
        <v>20</v>
      </c>
      <c r="F33" s="195" t="s">
        <v>1084</v>
      </c>
      <c r="G33" s="122" t="s">
        <v>1132</v>
      </c>
      <c r="H33" s="194" t="s">
        <v>1126</v>
      </c>
    </row>
    <row r="34" spans="2:8" ht="16.05" customHeight="1" x14ac:dyDescent="0.3">
      <c r="B34" s="202" t="s">
        <v>936</v>
      </c>
      <c r="C34" s="201">
        <v>4.0999999999999996</v>
      </c>
      <c r="D34" s="200" t="s">
        <v>1078</v>
      </c>
      <c r="E34" s="114">
        <v>17</v>
      </c>
      <c r="F34" s="199" t="s">
        <v>1077</v>
      </c>
      <c r="G34" s="114" t="s">
        <v>1130</v>
      </c>
      <c r="H34" s="198" t="s">
        <v>1129</v>
      </c>
    </row>
    <row r="35" spans="2:8" ht="16.05" customHeight="1" x14ac:dyDescent="0.3">
      <c r="B35" s="202" t="s">
        <v>966</v>
      </c>
      <c r="C35" s="201">
        <v>4</v>
      </c>
      <c r="D35" s="200" t="s">
        <v>1078</v>
      </c>
      <c r="E35" s="114">
        <v>5</v>
      </c>
      <c r="F35" s="199" t="s">
        <v>1077</v>
      </c>
      <c r="G35" s="114" t="s">
        <v>1130</v>
      </c>
      <c r="H35" s="198" t="s">
        <v>1129</v>
      </c>
    </row>
    <row r="36" spans="2:8" ht="16.05" customHeight="1" x14ac:dyDescent="0.3">
      <c r="B36" s="202" t="s">
        <v>941</v>
      </c>
      <c r="C36" s="201">
        <v>4.2</v>
      </c>
      <c r="D36" s="200" t="s">
        <v>1078</v>
      </c>
      <c r="E36" s="114">
        <v>23</v>
      </c>
      <c r="F36" s="199" t="s">
        <v>1077</v>
      </c>
      <c r="G36" s="114" t="s">
        <v>1134</v>
      </c>
      <c r="H36" s="198" t="s">
        <v>1129</v>
      </c>
    </row>
    <row r="37" spans="2:8" ht="16.05" customHeight="1" x14ac:dyDescent="0.3">
      <c r="B37" s="202" t="s">
        <v>946</v>
      </c>
      <c r="C37" s="201">
        <v>4.4000000000000004</v>
      </c>
      <c r="D37" s="200" t="s">
        <v>1078</v>
      </c>
      <c r="E37" s="114">
        <v>7</v>
      </c>
      <c r="F37" s="199" t="s">
        <v>1077</v>
      </c>
      <c r="G37" s="114" t="s">
        <v>1135</v>
      </c>
      <c r="H37" s="198" t="s">
        <v>1129</v>
      </c>
    </row>
    <row r="38" spans="2:8" ht="16.05" customHeight="1" x14ac:dyDescent="0.3">
      <c r="B38" s="202" t="s">
        <v>931</v>
      </c>
      <c r="C38" s="201">
        <v>4.0999999999999996</v>
      </c>
      <c r="D38" s="200" t="s">
        <v>1078</v>
      </c>
      <c r="E38" s="114">
        <v>6</v>
      </c>
      <c r="F38" s="199" t="s">
        <v>1077</v>
      </c>
      <c r="G38" s="114" t="s">
        <v>1130</v>
      </c>
      <c r="H38" s="198" t="s">
        <v>1129</v>
      </c>
    </row>
    <row r="39" spans="2:8" ht="16.05" customHeight="1" x14ac:dyDescent="0.3">
      <c r="B39" s="202" t="s">
        <v>955</v>
      </c>
      <c r="C39" s="201">
        <v>4.2</v>
      </c>
      <c r="D39" s="200" t="s">
        <v>1078</v>
      </c>
      <c r="E39" s="114">
        <v>13</v>
      </c>
      <c r="F39" s="199" t="s">
        <v>1077</v>
      </c>
      <c r="G39" s="114" t="s">
        <v>1134</v>
      </c>
      <c r="H39" s="198" t="s">
        <v>1129</v>
      </c>
    </row>
    <row r="40" spans="2:8" ht="16.05" customHeight="1" x14ac:dyDescent="0.3">
      <c r="B40" s="193" t="s">
        <v>932</v>
      </c>
      <c r="C40" s="192">
        <v>3.7</v>
      </c>
      <c r="D40" s="191" t="s">
        <v>1124</v>
      </c>
      <c r="E40" s="189">
        <v>14</v>
      </c>
      <c r="F40" s="190" t="s">
        <v>1123</v>
      </c>
      <c r="G40" s="189" t="s">
        <v>1133</v>
      </c>
      <c r="H40" s="188" t="s">
        <v>1121</v>
      </c>
    </row>
    <row r="41" spans="2:8" ht="16.05" customHeight="1" x14ac:dyDescent="0.3">
      <c r="B41" s="93" t="s">
        <v>929</v>
      </c>
      <c r="C41" s="197">
        <v>4.5999999999999996</v>
      </c>
      <c r="D41" s="196" t="s">
        <v>1087</v>
      </c>
      <c r="E41" s="122">
        <v>9</v>
      </c>
      <c r="F41" s="195" t="s">
        <v>1084</v>
      </c>
      <c r="G41" s="122" t="s">
        <v>1132</v>
      </c>
      <c r="H41" s="194" t="s">
        <v>1126</v>
      </c>
    </row>
    <row r="42" spans="2:8" ht="16.05" customHeight="1" x14ac:dyDescent="0.3">
      <c r="B42" s="93" t="s">
        <v>961</v>
      </c>
      <c r="C42" s="197">
        <v>4.5999999999999996</v>
      </c>
      <c r="D42" s="196" t="s">
        <v>1087</v>
      </c>
      <c r="E42" s="122">
        <v>20</v>
      </c>
      <c r="F42" s="195" t="s">
        <v>1084</v>
      </c>
      <c r="G42" s="122" t="s">
        <v>1132</v>
      </c>
      <c r="H42" s="194" t="s">
        <v>1126</v>
      </c>
    </row>
    <row r="43" spans="2:8" ht="16.05" customHeight="1" x14ac:dyDescent="0.3">
      <c r="B43" s="93" t="s">
        <v>938</v>
      </c>
      <c r="C43" s="197">
        <v>4.8</v>
      </c>
      <c r="D43" s="196" t="s">
        <v>1087</v>
      </c>
      <c r="E43" s="122">
        <v>13</v>
      </c>
      <c r="F43" s="195" t="s">
        <v>1084</v>
      </c>
      <c r="G43" s="122" t="s">
        <v>1128</v>
      </c>
      <c r="H43" s="194" t="s">
        <v>1126</v>
      </c>
    </row>
    <row r="44" spans="2:8" ht="16.05" customHeight="1" x14ac:dyDescent="0.3">
      <c r="B44" s="193" t="s">
        <v>951</v>
      </c>
      <c r="C44" s="192">
        <v>3.5</v>
      </c>
      <c r="D44" s="191" t="s">
        <v>1124</v>
      </c>
      <c r="E44" s="189">
        <v>17</v>
      </c>
      <c r="F44" s="190" t="s">
        <v>1123</v>
      </c>
      <c r="G44" s="189" t="s">
        <v>1122</v>
      </c>
      <c r="H44" s="188" t="s">
        <v>1121</v>
      </c>
    </row>
    <row r="45" spans="2:8" ht="16.05" customHeight="1" x14ac:dyDescent="0.3">
      <c r="B45" s="93" t="s">
        <v>916</v>
      </c>
      <c r="C45" s="197">
        <v>4.5999999999999996</v>
      </c>
      <c r="D45" s="196" t="s">
        <v>1087</v>
      </c>
      <c r="E45" s="122">
        <v>9</v>
      </c>
      <c r="F45" s="195" t="s">
        <v>1084</v>
      </c>
      <c r="G45" s="122" t="s">
        <v>1132</v>
      </c>
      <c r="H45" s="194" t="s">
        <v>1126</v>
      </c>
    </row>
    <row r="46" spans="2:8" ht="16.05" customHeight="1" x14ac:dyDescent="0.3">
      <c r="B46" s="93" t="s">
        <v>969</v>
      </c>
      <c r="C46" s="197">
        <v>4.9000000000000004</v>
      </c>
      <c r="D46" s="196" t="s">
        <v>1087</v>
      </c>
      <c r="E46" s="122">
        <v>5</v>
      </c>
      <c r="F46" s="195" t="s">
        <v>1084</v>
      </c>
      <c r="G46" s="122" t="s">
        <v>1131</v>
      </c>
      <c r="H46" s="194" t="s">
        <v>1126</v>
      </c>
    </row>
    <row r="47" spans="2:8" ht="16.05" customHeight="1" x14ac:dyDescent="0.3">
      <c r="B47" s="193" t="s">
        <v>934</v>
      </c>
      <c r="C47" s="192">
        <v>3.9</v>
      </c>
      <c r="D47" s="191" t="s">
        <v>1124</v>
      </c>
      <c r="E47" s="189">
        <v>24</v>
      </c>
      <c r="F47" s="190" t="s">
        <v>1123</v>
      </c>
      <c r="G47" s="189" t="s">
        <v>1125</v>
      </c>
      <c r="H47" s="188" t="s">
        <v>1121</v>
      </c>
    </row>
    <row r="48" spans="2:8" ht="16.05" customHeight="1" x14ac:dyDescent="0.3">
      <c r="B48" s="202" t="s">
        <v>943</v>
      </c>
      <c r="C48" s="201">
        <v>4.0999999999999996</v>
      </c>
      <c r="D48" s="200" t="s">
        <v>1078</v>
      </c>
      <c r="E48" s="114">
        <v>21</v>
      </c>
      <c r="F48" s="199" t="s">
        <v>1077</v>
      </c>
      <c r="G48" s="114" t="s">
        <v>1130</v>
      </c>
      <c r="H48" s="198" t="s">
        <v>1129</v>
      </c>
    </row>
    <row r="49" spans="2:8" ht="16.05" customHeight="1" x14ac:dyDescent="0.3">
      <c r="B49" s="93" t="s">
        <v>953</v>
      </c>
      <c r="C49" s="197">
        <v>4.8</v>
      </c>
      <c r="D49" s="196" t="s">
        <v>1087</v>
      </c>
      <c r="E49" s="122">
        <v>12</v>
      </c>
      <c r="F49" s="195" t="s">
        <v>1084</v>
      </c>
      <c r="G49" s="122" t="s">
        <v>1128</v>
      </c>
      <c r="H49" s="194" t="s">
        <v>1126</v>
      </c>
    </row>
    <row r="50" spans="2:8" ht="16.05" customHeight="1" x14ac:dyDescent="0.3">
      <c r="B50" s="93" t="s">
        <v>930</v>
      </c>
      <c r="C50" s="197">
        <v>4.7</v>
      </c>
      <c r="D50" s="196" t="s">
        <v>1087</v>
      </c>
      <c r="E50" s="122">
        <v>10</v>
      </c>
      <c r="F50" s="195" t="s">
        <v>1084</v>
      </c>
      <c r="G50" s="122" t="s">
        <v>1127</v>
      </c>
      <c r="H50" s="194" t="s">
        <v>1126</v>
      </c>
    </row>
    <row r="51" spans="2:8" ht="16.05" customHeight="1" x14ac:dyDescent="0.3">
      <c r="B51" s="193" t="s">
        <v>956</v>
      </c>
      <c r="C51" s="192">
        <v>3.9</v>
      </c>
      <c r="D51" s="191" t="s">
        <v>1124</v>
      </c>
      <c r="E51" s="189">
        <v>12</v>
      </c>
      <c r="F51" s="190" t="s">
        <v>1123</v>
      </c>
      <c r="G51" s="189" t="s">
        <v>1125</v>
      </c>
      <c r="H51" s="188" t="s">
        <v>1121</v>
      </c>
    </row>
    <row r="52" spans="2:8" ht="16.05" customHeight="1" x14ac:dyDescent="0.3">
      <c r="B52" s="193" t="s">
        <v>957</v>
      </c>
      <c r="C52" s="192">
        <v>3.6</v>
      </c>
      <c r="D52" s="191" t="s">
        <v>1124</v>
      </c>
      <c r="E52" s="189">
        <v>5</v>
      </c>
      <c r="F52" s="190" t="s">
        <v>1123</v>
      </c>
      <c r="G52" s="189" t="s">
        <v>1122</v>
      </c>
      <c r="H52" s="188" t="s">
        <v>1121</v>
      </c>
    </row>
    <row r="53" spans="2:8" ht="16.05" customHeight="1" x14ac:dyDescent="0.3">
      <c r="B53" s="193" t="s">
        <v>928</v>
      </c>
      <c r="C53" s="192">
        <v>3.9</v>
      </c>
      <c r="D53" s="191" t="s">
        <v>1124</v>
      </c>
      <c r="E53" s="189">
        <v>20</v>
      </c>
      <c r="F53" s="190" t="s">
        <v>1123</v>
      </c>
      <c r="G53" s="189" t="s">
        <v>1125</v>
      </c>
      <c r="H53" s="188" t="s">
        <v>1121</v>
      </c>
    </row>
    <row r="54" spans="2:8" ht="16.05" customHeight="1" x14ac:dyDescent="0.3">
      <c r="B54" s="193" t="s">
        <v>945</v>
      </c>
      <c r="C54" s="192">
        <v>3.6</v>
      </c>
      <c r="D54" s="191" t="s">
        <v>1124</v>
      </c>
      <c r="E54" s="189">
        <v>18</v>
      </c>
      <c r="F54" s="190" t="s">
        <v>1123</v>
      </c>
      <c r="G54" s="189" t="s">
        <v>1122</v>
      </c>
      <c r="H54" s="188" t="s">
        <v>1121</v>
      </c>
    </row>
    <row r="55" spans="2:8" ht="19.95" customHeight="1" x14ac:dyDescent="0.3">
      <c r="B55" s="187" t="s">
        <v>1120</v>
      </c>
      <c r="C55" s="186">
        <v>4.22</v>
      </c>
      <c r="D55" s="184"/>
      <c r="E55" s="185">
        <v>13.3</v>
      </c>
      <c r="F55" s="184"/>
      <c r="G55" s="184"/>
      <c r="H55" s="184"/>
    </row>
  </sheetData>
  <autoFilter ref="B4:H55" xr:uid="{00000000-0009-0000-0000-000001000000}"/>
  <mergeCells count="1">
    <mergeCell ref="A1: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0215E-BE48-47E6-B373-8E3FE8B96D5F}">
  <sheetPr>
    <tabColor theme="4" tint="0.39997558519241921"/>
  </sheetPr>
  <dimension ref="A1"/>
  <sheetViews>
    <sheetView zoomScale="70" zoomScaleNormal="70" workbookViewId="0">
      <selection activeCell="L34" sqref="L3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C3447-1D0D-4077-8AF3-71555D6E9808}">
  <sheetPr>
    <tabColor rgb="FF1B3A5C"/>
  </sheetPr>
  <dimension ref="A1:AE59"/>
  <sheetViews>
    <sheetView showGridLines="0" workbookViewId="0">
      <pane xSplit="3" ySplit="10" topLeftCell="D11" activePane="bottomRight" state="frozen"/>
      <selection pane="topRight"/>
      <selection pane="bottomLeft"/>
      <selection pane="bottomRight" activeCell="O15" sqref="O15"/>
    </sheetView>
  </sheetViews>
  <sheetFormatPr defaultRowHeight="14.4" x14ac:dyDescent="0.3"/>
  <cols>
    <col min="1" max="2" width="6.44140625" customWidth="1"/>
    <col min="3" max="3" width="1" customWidth="1"/>
    <col min="4" max="12" width="8" customWidth="1"/>
    <col min="13" max="13" width="17.6640625" customWidth="1"/>
    <col min="14" max="15" width="8" customWidth="1"/>
    <col min="16" max="16" width="1" customWidth="1"/>
    <col min="17" max="31" width="8" customWidth="1"/>
  </cols>
  <sheetData>
    <row r="1" spans="1:31" ht="6" customHeight="1" x14ac:dyDescent="0.3">
      <c r="A1" s="275"/>
      <c r="B1" s="275"/>
      <c r="C1" s="275"/>
      <c r="D1" s="275"/>
      <c r="E1" s="275"/>
      <c r="F1" s="275"/>
      <c r="G1" s="275"/>
      <c r="H1" s="275"/>
      <c r="I1" s="275"/>
      <c r="J1" s="275"/>
      <c r="K1" s="275"/>
      <c r="L1" s="275"/>
      <c r="M1" s="275"/>
      <c r="N1" s="275"/>
      <c r="O1" s="275"/>
      <c r="P1" s="275"/>
      <c r="Q1" s="275"/>
      <c r="R1" s="275"/>
      <c r="S1" s="275"/>
      <c r="T1" s="275"/>
      <c r="U1" s="275"/>
      <c r="V1" s="275"/>
      <c r="W1" s="275"/>
      <c r="X1" s="275"/>
      <c r="Y1" s="275"/>
      <c r="Z1" s="275"/>
      <c r="AA1" s="275"/>
      <c r="AB1" s="275"/>
      <c r="AC1" s="275"/>
      <c r="AD1" s="275"/>
      <c r="AE1" s="275"/>
    </row>
    <row r="2" spans="1:31" ht="34.049999999999997" customHeight="1" x14ac:dyDescent="0.3">
      <c r="A2" s="301" t="s">
        <v>1168</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row>
    <row r="3" spans="1:31" ht="16.05" customHeight="1" x14ac:dyDescent="0.3">
      <c r="A3" s="300" t="s">
        <v>1167</v>
      </c>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row>
    <row r="4" spans="1:31" ht="7.95" customHeight="1" x14ac:dyDescent="0.3"/>
    <row r="5" spans="1:31" ht="13.95" customHeight="1" x14ac:dyDescent="0.3">
      <c r="D5" s="299" t="s">
        <v>1166</v>
      </c>
      <c r="E5" s="12"/>
      <c r="F5" s="12"/>
      <c r="G5" s="298" t="s">
        <v>1165</v>
      </c>
      <c r="H5" s="12"/>
      <c r="I5" s="12"/>
      <c r="J5" s="297" t="s">
        <v>1164</v>
      </c>
      <c r="K5" s="12"/>
      <c r="L5" s="12"/>
      <c r="M5" s="296" t="s">
        <v>1163</v>
      </c>
      <c r="N5" s="12"/>
      <c r="O5" s="12"/>
      <c r="P5" s="295" t="s">
        <v>1162</v>
      </c>
      <c r="Q5" s="12"/>
      <c r="R5" s="12"/>
      <c r="S5" s="294" t="s">
        <v>1161</v>
      </c>
      <c r="T5" s="12"/>
      <c r="U5" s="12"/>
      <c r="V5" s="275"/>
      <c r="W5" s="275"/>
      <c r="X5" s="275"/>
      <c r="Y5" s="275"/>
      <c r="Z5" s="275"/>
      <c r="AA5" s="275"/>
      <c r="AB5" s="275"/>
      <c r="AC5" s="275"/>
      <c r="AD5" s="275"/>
      <c r="AE5" s="275"/>
    </row>
    <row r="6" spans="1:31" ht="25.95" customHeight="1" x14ac:dyDescent="0.3">
      <c r="D6" s="293" t="s">
        <v>1111</v>
      </c>
      <c r="E6" s="12"/>
      <c r="F6" s="12"/>
      <c r="G6" s="292" t="s">
        <v>1160</v>
      </c>
      <c r="H6" s="12"/>
      <c r="I6" s="12"/>
      <c r="J6" s="291" t="s">
        <v>1109</v>
      </c>
      <c r="K6" s="12"/>
      <c r="L6" s="12"/>
      <c r="M6" s="290" t="s">
        <v>1108</v>
      </c>
      <c r="N6" s="12"/>
      <c r="O6" s="12"/>
      <c r="P6" s="289" t="s">
        <v>1159</v>
      </c>
      <c r="Q6" s="12"/>
      <c r="R6" s="12"/>
      <c r="S6" s="288" t="s">
        <v>1158</v>
      </c>
      <c r="T6" s="12"/>
      <c r="U6" s="12"/>
      <c r="V6" s="275"/>
      <c r="W6" s="275"/>
      <c r="X6" s="275"/>
      <c r="Y6" s="275"/>
      <c r="Z6" s="275"/>
      <c r="AA6" s="275"/>
      <c r="AB6" s="275"/>
      <c r="AC6" s="275"/>
      <c r="AD6" s="275"/>
      <c r="AE6" s="275"/>
    </row>
    <row r="7" spans="1:31" x14ac:dyDescent="0.3">
      <c r="D7" s="12"/>
      <c r="E7" s="12"/>
      <c r="F7" s="12"/>
      <c r="G7" s="12"/>
      <c r="H7" s="12"/>
      <c r="I7" s="12"/>
      <c r="J7" s="12"/>
      <c r="K7" s="12"/>
      <c r="L7" s="12"/>
      <c r="M7" s="12"/>
      <c r="N7" s="12"/>
      <c r="O7" s="12"/>
      <c r="P7" s="12"/>
      <c r="Q7" s="12"/>
      <c r="R7" s="12"/>
      <c r="S7" s="12"/>
      <c r="T7" s="12"/>
      <c r="U7" s="12"/>
      <c r="V7" s="275"/>
      <c r="W7" s="275"/>
      <c r="X7" s="275"/>
      <c r="Y7" s="275"/>
      <c r="Z7" s="275"/>
      <c r="AA7" s="275"/>
      <c r="AB7" s="275"/>
      <c r="AC7" s="275"/>
      <c r="AD7" s="275"/>
      <c r="AE7" s="275"/>
    </row>
    <row r="8" spans="1:31" ht="13.95" customHeight="1" x14ac:dyDescent="0.3">
      <c r="D8" s="287" t="s">
        <v>1105</v>
      </c>
      <c r="E8" s="12"/>
      <c r="F8" s="12"/>
      <c r="G8" s="286" t="s">
        <v>1157</v>
      </c>
      <c r="H8" s="12"/>
      <c r="I8" s="12"/>
      <c r="J8" s="285" t="s">
        <v>1103</v>
      </c>
      <c r="K8" s="12"/>
      <c r="L8" s="12"/>
      <c r="M8" s="284" t="s">
        <v>1102</v>
      </c>
      <c r="N8" s="12"/>
      <c r="O8" s="12"/>
      <c r="P8" s="283" t="s">
        <v>1156</v>
      </c>
      <c r="Q8" s="12"/>
      <c r="R8" s="12"/>
      <c r="S8" s="282" t="s">
        <v>1155</v>
      </c>
      <c r="T8" s="12"/>
      <c r="U8" s="12"/>
      <c r="V8" s="275"/>
      <c r="W8" s="275"/>
      <c r="X8" s="275"/>
      <c r="Y8" s="275"/>
      <c r="Z8" s="275"/>
      <c r="AA8" s="275"/>
      <c r="AB8" s="275"/>
      <c r="AC8" s="275"/>
      <c r="AD8" s="275"/>
      <c r="AE8" s="275"/>
    </row>
    <row r="9" spans="1:31" ht="4.05" customHeight="1" x14ac:dyDescent="0.3">
      <c r="D9" s="281"/>
      <c r="E9" s="12"/>
      <c r="F9" s="12"/>
      <c r="G9" s="280"/>
      <c r="H9" s="12"/>
      <c r="I9" s="12"/>
      <c r="J9" s="279"/>
      <c r="K9" s="12"/>
      <c r="L9" s="12"/>
      <c r="M9" s="278"/>
      <c r="N9" s="12"/>
      <c r="O9" s="12"/>
      <c r="P9" s="277"/>
      <c r="Q9" s="12"/>
      <c r="R9" s="12"/>
      <c r="S9" s="276"/>
      <c r="T9" s="12"/>
      <c r="U9" s="12"/>
      <c r="V9" s="275"/>
      <c r="W9" s="275"/>
      <c r="X9" s="275"/>
      <c r="Y9" s="275"/>
      <c r="Z9" s="275"/>
      <c r="AA9" s="275"/>
      <c r="AB9" s="275"/>
      <c r="AC9" s="275"/>
      <c r="AD9" s="275"/>
      <c r="AE9" s="275"/>
    </row>
    <row r="10" spans="1:31" ht="10.050000000000001" customHeight="1" x14ac:dyDescent="0.3"/>
    <row r="11" spans="1:31" ht="18" customHeight="1" x14ac:dyDescent="0.3">
      <c r="A11" s="274" t="s">
        <v>635</v>
      </c>
      <c r="B11" s="12"/>
    </row>
    <row r="12" spans="1:31" ht="15" customHeight="1" x14ac:dyDescent="0.3">
      <c r="A12" s="267" t="s">
        <v>668</v>
      </c>
      <c r="B12" s="12"/>
    </row>
    <row r="13" spans="1:31" ht="15" customHeight="1" x14ac:dyDescent="0.3">
      <c r="A13" s="267" t="s">
        <v>686</v>
      </c>
      <c r="B13" s="12"/>
    </row>
    <row r="14" spans="1:31" ht="15" customHeight="1" x14ac:dyDescent="0.3">
      <c r="A14" s="267" t="s">
        <v>670</v>
      </c>
      <c r="B14" s="12"/>
    </row>
    <row r="15" spans="1:31" ht="15" customHeight="1" x14ac:dyDescent="0.3">
      <c r="A15" s="267" t="s">
        <v>667</v>
      </c>
      <c r="B15" s="12"/>
    </row>
    <row r="16" spans="1:31" ht="15" customHeight="1" x14ac:dyDescent="0.3">
      <c r="A16" s="267" t="s">
        <v>658</v>
      </c>
      <c r="B16" s="12"/>
    </row>
    <row r="17" spans="1:4" ht="15" customHeight="1" x14ac:dyDescent="0.3">
      <c r="A17" s="267" t="s">
        <v>683</v>
      </c>
      <c r="B17" s="12"/>
    </row>
    <row r="18" spans="1:4" ht="15" customHeight="1" x14ac:dyDescent="0.3">
      <c r="A18" s="267" t="s">
        <v>650</v>
      </c>
      <c r="B18" s="12"/>
    </row>
    <row r="19" spans="1:4" ht="15" customHeight="1" x14ac:dyDescent="0.3">
      <c r="A19" s="267" t="s">
        <v>664</v>
      </c>
      <c r="B19" s="12"/>
    </row>
    <row r="20" spans="1:4" ht="6" customHeight="1" x14ac:dyDescent="0.3"/>
    <row r="21" spans="1:4" ht="18" customHeight="1" x14ac:dyDescent="0.3">
      <c r="A21" s="273" t="s">
        <v>2</v>
      </c>
      <c r="B21" s="12"/>
    </row>
    <row r="22" spans="1:4" ht="15" customHeight="1" x14ac:dyDescent="0.3">
      <c r="A22" s="272" t="s">
        <v>12</v>
      </c>
      <c r="B22" s="12"/>
    </row>
    <row r="23" spans="1:4" ht="15" customHeight="1" x14ac:dyDescent="0.3">
      <c r="A23" s="272" t="s">
        <v>17</v>
      </c>
      <c r="B23" s="12"/>
    </row>
    <row r="24" spans="1:4" ht="15" customHeight="1" x14ac:dyDescent="0.3">
      <c r="A24" s="272" t="s">
        <v>26</v>
      </c>
      <c r="B24" s="12"/>
    </row>
    <row r="25" spans="1:4" ht="15" customHeight="1" x14ac:dyDescent="0.3">
      <c r="A25" s="272" t="s">
        <v>22</v>
      </c>
      <c r="B25" s="12"/>
    </row>
    <row r="26" spans="1:4" ht="15" customHeight="1" x14ac:dyDescent="0.3">
      <c r="A26" s="272" t="s">
        <v>9</v>
      </c>
      <c r="B26" s="12"/>
    </row>
    <row r="27" spans="1:4" ht="16.05" customHeight="1" x14ac:dyDescent="0.3">
      <c r="C27" s="271" t="s">
        <v>1154</v>
      </c>
      <c r="D27" s="12"/>
    </row>
    <row r="28" spans="1:4" ht="13.95" customHeight="1" x14ac:dyDescent="0.3">
      <c r="A28" s="270" t="s">
        <v>1</v>
      </c>
      <c r="B28" s="12"/>
      <c r="C28" s="267" t="s">
        <v>982</v>
      </c>
      <c r="D28" s="12"/>
    </row>
    <row r="29" spans="1:4" ht="13.95" customHeight="1" x14ac:dyDescent="0.3">
      <c r="A29" s="269" t="s">
        <v>1153</v>
      </c>
      <c r="B29" s="12"/>
      <c r="C29" s="266" t="s">
        <v>983</v>
      </c>
      <c r="D29" s="12"/>
    </row>
    <row r="30" spans="1:4" ht="13.95" customHeight="1" x14ac:dyDescent="0.3">
      <c r="A30" s="269" t="s">
        <v>28</v>
      </c>
      <c r="B30" s="12"/>
      <c r="C30" s="267" t="s">
        <v>984</v>
      </c>
      <c r="D30" s="12"/>
    </row>
    <row r="31" spans="1:4" ht="13.95" customHeight="1" x14ac:dyDescent="0.3">
      <c r="A31" s="269" t="s">
        <v>19</v>
      </c>
      <c r="B31" s="12"/>
      <c r="C31" s="266" t="s">
        <v>985</v>
      </c>
      <c r="D31" s="12"/>
    </row>
    <row r="32" spans="1:4" ht="13.95" customHeight="1" x14ac:dyDescent="0.3">
      <c r="A32" s="269" t="s">
        <v>24</v>
      </c>
      <c r="B32" s="12"/>
      <c r="C32" s="267" t="s">
        <v>986</v>
      </c>
      <c r="D32" s="12"/>
    </row>
    <row r="33" spans="1:27" ht="13.95" customHeight="1" x14ac:dyDescent="0.3">
      <c r="A33" s="269" t="s">
        <v>46</v>
      </c>
      <c r="B33" s="12"/>
      <c r="C33" s="266" t="s">
        <v>987</v>
      </c>
      <c r="D33" s="12"/>
    </row>
    <row r="34" spans="1:27" ht="13.95" customHeight="1" x14ac:dyDescent="0.3">
      <c r="A34" s="269" t="s">
        <v>30</v>
      </c>
      <c r="B34" s="12"/>
      <c r="C34" s="267" t="s">
        <v>988</v>
      </c>
      <c r="D34" s="12"/>
    </row>
    <row r="35" spans="1:27" ht="13.95" customHeight="1" x14ac:dyDescent="0.3">
      <c r="A35" s="269" t="s">
        <v>8</v>
      </c>
      <c r="B35" s="12"/>
      <c r="C35" s="266" t="s">
        <v>989</v>
      </c>
      <c r="D35" s="12"/>
    </row>
    <row r="36" spans="1:27" ht="13.95" customHeight="1" x14ac:dyDescent="0.3">
      <c r="A36" s="269" t="s">
        <v>11</v>
      </c>
      <c r="B36" s="12"/>
      <c r="C36" s="267" t="s">
        <v>990</v>
      </c>
      <c r="D36" s="12"/>
    </row>
    <row r="37" spans="1:27" ht="13.95" customHeight="1" x14ac:dyDescent="0.3">
      <c r="C37" s="266" t="s">
        <v>991</v>
      </c>
      <c r="D37" s="12"/>
    </row>
    <row r="38" spans="1:27" ht="13.95" customHeight="1" x14ac:dyDescent="0.3">
      <c r="A38" s="268" t="s">
        <v>641</v>
      </c>
      <c r="B38" s="12"/>
      <c r="C38" s="267" t="s">
        <v>992</v>
      </c>
      <c r="D38" s="12"/>
    </row>
    <row r="39" spans="1:27" ht="13.95" customHeight="1" x14ac:dyDescent="0.3">
      <c r="A39" s="265" t="s">
        <v>649</v>
      </c>
      <c r="B39" s="12"/>
      <c r="C39" s="266" t="s">
        <v>993</v>
      </c>
      <c r="D39" s="12"/>
    </row>
    <row r="40" spans="1:27" ht="15" customHeight="1" x14ac:dyDescent="0.3">
      <c r="A40" s="265" t="s">
        <v>643</v>
      </c>
      <c r="B40" s="12"/>
    </row>
    <row r="41" spans="1:27" ht="15" customHeight="1" x14ac:dyDescent="0.3">
      <c r="A41" s="265" t="s">
        <v>646</v>
      </c>
      <c r="B41" s="12"/>
    </row>
    <row r="44" spans="1:27" ht="10.050000000000001" customHeight="1" x14ac:dyDescent="0.3"/>
    <row r="45" spans="1:27" ht="19.95" customHeight="1" x14ac:dyDescent="0.3">
      <c r="D45" s="264" t="s">
        <v>1076</v>
      </c>
      <c r="E45" s="12"/>
      <c r="F45" s="12"/>
      <c r="G45" s="12"/>
      <c r="H45" s="12"/>
      <c r="I45" s="12"/>
      <c r="J45" s="12"/>
      <c r="K45" s="263" t="s">
        <v>1152</v>
      </c>
      <c r="L45" s="12"/>
      <c r="M45" s="12"/>
      <c r="N45" s="12"/>
      <c r="O45" s="12"/>
      <c r="P45" s="12"/>
      <c r="Q45" s="12"/>
      <c r="R45" s="12"/>
      <c r="S45" s="262" t="s">
        <v>1151</v>
      </c>
      <c r="T45" s="12"/>
      <c r="U45" s="12"/>
      <c r="V45" s="12"/>
      <c r="W45" s="12"/>
      <c r="X45" s="12"/>
      <c r="Y45" s="12"/>
      <c r="Z45" s="12"/>
      <c r="AA45" s="12"/>
    </row>
    <row r="46" spans="1:27" ht="18" customHeight="1" x14ac:dyDescent="0.3">
      <c r="D46" s="261" t="s">
        <v>1</v>
      </c>
      <c r="E46" s="261" t="s">
        <v>1074</v>
      </c>
      <c r="F46" s="261" t="s">
        <v>1073</v>
      </c>
      <c r="G46" s="261" t="s">
        <v>1070</v>
      </c>
      <c r="H46" s="261" t="s">
        <v>1072</v>
      </c>
      <c r="I46" s="261" t="s">
        <v>1071</v>
      </c>
      <c r="K46" s="260" t="s">
        <v>2</v>
      </c>
      <c r="L46" s="260" t="s">
        <v>3</v>
      </c>
      <c r="M46" s="260" t="s">
        <v>1046</v>
      </c>
      <c r="N46" s="260" t="s">
        <v>1150</v>
      </c>
      <c r="O46" s="260" t="s">
        <v>641</v>
      </c>
      <c r="S46" s="259" t="s">
        <v>1095</v>
      </c>
      <c r="T46" s="259" t="s">
        <v>1094</v>
      </c>
      <c r="U46" s="259" t="s">
        <v>1093</v>
      </c>
      <c r="V46" s="259" t="s">
        <v>1092</v>
      </c>
      <c r="W46" s="259" t="s">
        <v>1091</v>
      </c>
      <c r="X46" s="259" t="s">
        <v>1149</v>
      </c>
      <c r="Y46" s="259" t="s">
        <v>1148</v>
      </c>
    </row>
    <row r="47" spans="1:27" ht="15" customHeight="1" x14ac:dyDescent="0.3">
      <c r="D47" s="229" t="s">
        <v>24</v>
      </c>
      <c r="E47" s="228">
        <v>1778992</v>
      </c>
      <c r="F47" s="227">
        <v>6709</v>
      </c>
      <c r="G47" s="226">
        <v>0.1434</v>
      </c>
      <c r="H47" s="225">
        <v>265.17</v>
      </c>
      <c r="I47" s="224" t="s">
        <v>1067</v>
      </c>
      <c r="K47" s="258" t="s">
        <v>12</v>
      </c>
      <c r="L47" s="257">
        <v>22678</v>
      </c>
      <c r="M47" s="256">
        <v>5518326</v>
      </c>
      <c r="N47" s="255">
        <v>0.22339999999999999</v>
      </c>
      <c r="O47" s="244" t="s">
        <v>1146</v>
      </c>
      <c r="S47" s="249" t="s">
        <v>1147</v>
      </c>
      <c r="T47" s="248">
        <v>5</v>
      </c>
      <c r="U47" s="247" t="s">
        <v>1087</v>
      </c>
      <c r="V47" s="245">
        <v>11</v>
      </c>
      <c r="W47" s="246" t="s">
        <v>1088</v>
      </c>
      <c r="X47" s="245" t="s">
        <v>1131</v>
      </c>
      <c r="Y47" s="244" t="s">
        <v>1126</v>
      </c>
    </row>
    <row r="48" spans="1:27" ht="15" customHeight="1" x14ac:dyDescent="0.3">
      <c r="D48" s="223" t="s">
        <v>33</v>
      </c>
      <c r="E48" s="222">
        <v>1429160</v>
      </c>
      <c r="F48" s="221">
        <v>7205</v>
      </c>
      <c r="G48" s="220">
        <v>0.1152</v>
      </c>
      <c r="H48" s="219">
        <v>198.36</v>
      </c>
      <c r="I48" s="218" t="s">
        <v>1065</v>
      </c>
      <c r="K48" s="254" t="s">
        <v>17</v>
      </c>
      <c r="L48" s="253">
        <v>22913</v>
      </c>
      <c r="M48" s="252">
        <v>5316735</v>
      </c>
      <c r="N48" s="251">
        <v>0.2155</v>
      </c>
      <c r="O48" s="250" t="s">
        <v>1146</v>
      </c>
      <c r="S48" s="249" t="s">
        <v>944</v>
      </c>
      <c r="T48" s="248">
        <v>5</v>
      </c>
      <c r="U48" s="247" t="s">
        <v>1087</v>
      </c>
      <c r="V48" s="245">
        <v>10</v>
      </c>
      <c r="W48" s="246" t="s">
        <v>1088</v>
      </c>
      <c r="X48" s="245" t="s">
        <v>1131</v>
      </c>
      <c r="Y48" s="244" t="s">
        <v>1126</v>
      </c>
    </row>
    <row r="49" spans="1:31" ht="15" customHeight="1" x14ac:dyDescent="0.3">
      <c r="D49" s="229" t="s">
        <v>28</v>
      </c>
      <c r="E49" s="228">
        <v>1423061</v>
      </c>
      <c r="F49" s="227">
        <v>5618</v>
      </c>
      <c r="G49" s="226">
        <v>0.1147</v>
      </c>
      <c r="H49" s="225">
        <v>253.3</v>
      </c>
      <c r="I49" s="224" t="s">
        <v>1063</v>
      </c>
      <c r="K49" s="243" t="s">
        <v>26</v>
      </c>
      <c r="L49" s="242">
        <v>18982</v>
      </c>
      <c r="M49" s="241">
        <v>5345001</v>
      </c>
      <c r="N49" s="240">
        <v>0.2162</v>
      </c>
      <c r="O49" s="239" t="s">
        <v>1146</v>
      </c>
      <c r="S49" s="217" t="s">
        <v>969</v>
      </c>
      <c r="T49" s="216">
        <v>4.9000000000000004</v>
      </c>
      <c r="U49" s="215" t="s">
        <v>1144</v>
      </c>
      <c r="V49" s="213">
        <v>5</v>
      </c>
      <c r="W49" s="214" t="s">
        <v>1084</v>
      </c>
      <c r="X49" s="213" t="s">
        <v>1131</v>
      </c>
      <c r="Y49" s="212" t="s">
        <v>1126</v>
      </c>
    </row>
    <row r="50" spans="1:31" ht="15" customHeight="1" x14ac:dyDescent="0.3">
      <c r="D50" s="223" t="s">
        <v>14</v>
      </c>
      <c r="E50" s="222">
        <v>1479519</v>
      </c>
      <c r="F50" s="221">
        <v>5451</v>
      </c>
      <c r="G50" s="220">
        <v>0.1193</v>
      </c>
      <c r="H50" s="219">
        <v>271.42</v>
      </c>
      <c r="I50" s="218" t="s">
        <v>1060</v>
      </c>
      <c r="K50" s="238" t="s">
        <v>22</v>
      </c>
      <c r="L50" s="237">
        <v>16404</v>
      </c>
      <c r="M50" s="236">
        <v>3453029</v>
      </c>
      <c r="N50" s="235">
        <v>0.13980000000000001</v>
      </c>
      <c r="O50" s="212" t="s">
        <v>1146</v>
      </c>
      <c r="S50" s="217" t="s">
        <v>921</v>
      </c>
      <c r="T50" s="216">
        <v>4.9000000000000004</v>
      </c>
      <c r="U50" s="215" t="s">
        <v>1144</v>
      </c>
      <c r="V50" s="213">
        <v>9</v>
      </c>
      <c r="W50" s="214" t="s">
        <v>1084</v>
      </c>
      <c r="X50" s="213" t="s">
        <v>1131</v>
      </c>
      <c r="Y50" s="212" t="s">
        <v>1126</v>
      </c>
    </row>
    <row r="51" spans="1:31" ht="15" customHeight="1" x14ac:dyDescent="0.3">
      <c r="D51" s="229" t="s">
        <v>46</v>
      </c>
      <c r="E51" s="228">
        <v>1553723</v>
      </c>
      <c r="F51" s="227">
        <v>5679</v>
      </c>
      <c r="G51" s="226">
        <v>0.12520000000000001</v>
      </c>
      <c r="H51" s="225">
        <v>273.58999999999997</v>
      </c>
      <c r="I51" s="224" t="s">
        <v>1058</v>
      </c>
      <c r="K51" s="234" t="s">
        <v>9</v>
      </c>
      <c r="L51" s="233">
        <v>22404</v>
      </c>
      <c r="M51" s="232">
        <v>5065831</v>
      </c>
      <c r="N51" s="231">
        <v>0.2051</v>
      </c>
      <c r="O51" s="230" t="s">
        <v>1146</v>
      </c>
      <c r="S51" s="217" t="s">
        <v>1086</v>
      </c>
      <c r="T51" s="216">
        <v>4.9000000000000004</v>
      </c>
      <c r="U51" s="215" t="s">
        <v>1144</v>
      </c>
      <c r="V51" s="213">
        <v>18</v>
      </c>
      <c r="W51" s="214" t="s">
        <v>1084</v>
      </c>
      <c r="X51" s="213" t="s">
        <v>1131</v>
      </c>
      <c r="Y51" s="212" t="s">
        <v>1126</v>
      </c>
    </row>
    <row r="52" spans="1:31" ht="15" customHeight="1" x14ac:dyDescent="0.3">
      <c r="D52" s="223" t="s">
        <v>19</v>
      </c>
      <c r="E52" s="222">
        <v>1011587</v>
      </c>
      <c r="F52" s="221">
        <v>5816</v>
      </c>
      <c r="G52" s="220">
        <v>8.1500000000000003E-2</v>
      </c>
      <c r="H52" s="219">
        <v>173.93</v>
      </c>
      <c r="I52" s="218" t="s">
        <v>1055</v>
      </c>
      <c r="S52" s="217" t="s">
        <v>1085</v>
      </c>
      <c r="T52" s="216">
        <v>4.8</v>
      </c>
      <c r="U52" s="215" t="s">
        <v>1144</v>
      </c>
      <c r="V52" s="213">
        <v>13</v>
      </c>
      <c r="W52" s="214" t="s">
        <v>1084</v>
      </c>
      <c r="X52" s="213" t="s">
        <v>1128</v>
      </c>
      <c r="Y52" s="212" t="s">
        <v>1126</v>
      </c>
    </row>
    <row r="53" spans="1:31" ht="15" customHeight="1" x14ac:dyDescent="0.3">
      <c r="D53" s="229" t="s">
        <v>30</v>
      </c>
      <c r="E53" s="228">
        <v>1272711</v>
      </c>
      <c r="F53" s="227">
        <v>4936</v>
      </c>
      <c r="G53" s="226">
        <v>0.1026</v>
      </c>
      <c r="H53" s="225">
        <v>257.83999999999997</v>
      </c>
      <c r="I53" s="224" t="s">
        <v>1052</v>
      </c>
      <c r="S53" s="217" t="s">
        <v>953</v>
      </c>
      <c r="T53" s="216">
        <v>4.8</v>
      </c>
      <c r="U53" s="215" t="s">
        <v>1144</v>
      </c>
      <c r="V53" s="213">
        <v>12</v>
      </c>
      <c r="W53" s="214" t="s">
        <v>1084</v>
      </c>
      <c r="X53" s="213" t="s">
        <v>1128</v>
      </c>
      <c r="Y53" s="212" t="s">
        <v>1126</v>
      </c>
    </row>
    <row r="54" spans="1:31" ht="15" customHeight="1" x14ac:dyDescent="0.3">
      <c r="D54" s="223" t="s">
        <v>16</v>
      </c>
      <c r="E54" s="222">
        <v>1048188</v>
      </c>
      <c r="F54" s="221">
        <v>3261</v>
      </c>
      <c r="G54" s="220">
        <v>8.4500000000000006E-2</v>
      </c>
      <c r="H54" s="219">
        <v>321.43</v>
      </c>
      <c r="I54" s="218" t="s">
        <v>1051</v>
      </c>
      <c r="S54" s="217" t="s">
        <v>1145</v>
      </c>
      <c r="T54" s="216">
        <v>4.8</v>
      </c>
      <c r="U54" s="215" t="s">
        <v>1144</v>
      </c>
      <c r="V54" s="213">
        <v>19</v>
      </c>
      <c r="W54" s="214" t="s">
        <v>1084</v>
      </c>
      <c r="X54" s="213" t="s">
        <v>1128</v>
      </c>
      <c r="Y54" s="212" t="s">
        <v>1126</v>
      </c>
    </row>
    <row r="55" spans="1:31" ht="15" customHeight="1" x14ac:dyDescent="0.3">
      <c r="D55" s="229" t="s">
        <v>11</v>
      </c>
      <c r="E55" s="228">
        <v>992358</v>
      </c>
      <c r="F55" s="227">
        <v>4206</v>
      </c>
      <c r="G55" s="226">
        <v>0.08</v>
      </c>
      <c r="H55" s="225">
        <v>235.94</v>
      </c>
      <c r="I55" s="224" t="s">
        <v>1050</v>
      </c>
      <c r="S55" s="217" t="s">
        <v>1083</v>
      </c>
      <c r="T55" s="216">
        <v>4.7</v>
      </c>
      <c r="U55" s="215" t="s">
        <v>1144</v>
      </c>
      <c r="V55" s="213">
        <v>4</v>
      </c>
      <c r="W55" s="214" t="s">
        <v>1084</v>
      </c>
      <c r="X55" s="213" t="s">
        <v>1127</v>
      </c>
      <c r="Y55" s="212" t="s">
        <v>1126</v>
      </c>
    </row>
    <row r="56" spans="1:31" ht="15" customHeight="1" x14ac:dyDescent="0.3">
      <c r="D56" s="223" t="s">
        <v>8</v>
      </c>
      <c r="E56" s="222">
        <v>416770</v>
      </c>
      <c r="F56" s="221">
        <v>2248</v>
      </c>
      <c r="G56" s="220">
        <v>3.3599999999999998E-2</v>
      </c>
      <c r="H56" s="219">
        <v>185.4</v>
      </c>
      <c r="I56" s="218" t="s">
        <v>1049</v>
      </c>
      <c r="S56" s="217" t="s">
        <v>1081</v>
      </c>
      <c r="T56" s="216">
        <v>4.7</v>
      </c>
      <c r="U56" s="215" t="s">
        <v>1144</v>
      </c>
      <c r="V56" s="213">
        <v>10</v>
      </c>
      <c r="W56" s="214" t="s">
        <v>1084</v>
      </c>
      <c r="X56" s="213" t="s">
        <v>1127</v>
      </c>
      <c r="Y56" s="212" t="s">
        <v>1126</v>
      </c>
    </row>
    <row r="58" spans="1:31" ht="7.95" customHeight="1" x14ac:dyDescent="0.3"/>
    <row r="59" spans="1:31" ht="13.95" customHeight="1" x14ac:dyDescent="0.3">
      <c r="A59" s="211" t="s">
        <v>1143</v>
      </c>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row>
  </sheetData>
  <mergeCells count="71">
    <mergeCell ref="P9:R9"/>
    <mergeCell ref="A13:B13"/>
    <mergeCell ref="A2:AE2"/>
    <mergeCell ref="A15:B15"/>
    <mergeCell ref="P8:R8"/>
    <mergeCell ref="C30:D30"/>
    <mergeCell ref="C33:D33"/>
    <mergeCell ref="A11:B11"/>
    <mergeCell ref="G5:I5"/>
    <mergeCell ref="S9:U9"/>
    <mergeCell ref="J5:L5"/>
    <mergeCell ref="M5:O5"/>
    <mergeCell ref="A19:B19"/>
    <mergeCell ref="M9:O9"/>
    <mergeCell ref="A28:B28"/>
    <mergeCell ref="C37:D37"/>
    <mergeCell ref="G8:I8"/>
    <mergeCell ref="C34:D34"/>
    <mergeCell ref="A31:B31"/>
    <mergeCell ref="A24:B24"/>
    <mergeCell ref="A30:B30"/>
    <mergeCell ref="S6:U7"/>
    <mergeCell ref="A29:B29"/>
    <mergeCell ref="C32:D32"/>
    <mergeCell ref="A36:B36"/>
    <mergeCell ref="C35:D35"/>
    <mergeCell ref="K45:R45"/>
    <mergeCell ref="D6:F7"/>
    <mergeCell ref="A16:B16"/>
    <mergeCell ref="C29:D29"/>
    <mergeCell ref="A25:B25"/>
    <mergeCell ref="P6:R7"/>
    <mergeCell ref="A12:B12"/>
    <mergeCell ref="A23:B23"/>
    <mergeCell ref="C39:D39"/>
    <mergeCell ref="M6:O7"/>
    <mergeCell ref="A22:B22"/>
    <mergeCell ref="A35:B35"/>
    <mergeCell ref="G6:I7"/>
    <mergeCell ref="A38:B38"/>
    <mergeCell ref="D9:F9"/>
    <mergeCell ref="A14:B14"/>
    <mergeCell ref="C36:D36"/>
    <mergeCell ref="A17:B17"/>
    <mergeCell ref="S45:AA45"/>
    <mergeCell ref="A18:B18"/>
    <mergeCell ref="D8:F8"/>
    <mergeCell ref="C31:D31"/>
    <mergeCell ref="A41:B41"/>
    <mergeCell ref="M8:O8"/>
    <mergeCell ref="C38:D38"/>
    <mergeCell ref="A59:AE59"/>
    <mergeCell ref="A26:B26"/>
    <mergeCell ref="A21:B21"/>
    <mergeCell ref="S5:U5"/>
    <mergeCell ref="J6:L7"/>
    <mergeCell ref="D5:F5"/>
    <mergeCell ref="P5:R5"/>
    <mergeCell ref="A33:B33"/>
    <mergeCell ref="D45:J45"/>
    <mergeCell ref="C27:D27"/>
    <mergeCell ref="C28:D28"/>
    <mergeCell ref="A40:B40"/>
    <mergeCell ref="J9:L9"/>
    <mergeCell ref="S8:U8"/>
    <mergeCell ref="A3:AE3"/>
    <mergeCell ref="A39:B39"/>
    <mergeCell ref="A34:B34"/>
    <mergeCell ref="A32:B32"/>
    <mergeCell ref="G9:I9"/>
    <mergeCell ref="J8:L8"/>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C2201-4DEA-4DAB-A6C3-2D5B6A1E999C}">
  <dimension ref="A2:AC234"/>
  <sheetViews>
    <sheetView topLeftCell="D24" workbookViewId="0">
      <selection activeCell="O209" sqref="O209"/>
    </sheetView>
  </sheetViews>
  <sheetFormatPr defaultRowHeight="14.4" x14ac:dyDescent="0.3"/>
  <cols>
    <col min="1" max="1" width="12.44140625" bestFit="1" customWidth="1"/>
    <col min="2" max="2" width="16.77734375" bestFit="1" customWidth="1"/>
    <col min="3" max="3" width="11.88671875" customWidth="1"/>
    <col min="4" max="4" width="30.6640625" customWidth="1"/>
    <col min="6" max="6" width="23.77734375" customWidth="1"/>
    <col min="8" max="8" width="13.6640625" bestFit="1" customWidth="1"/>
    <col min="9" max="9" width="16.77734375" bestFit="1" customWidth="1"/>
    <col min="10" max="10" width="14.21875" bestFit="1" customWidth="1"/>
    <col min="11" max="11" width="19.109375" customWidth="1"/>
    <col min="12" max="12" width="12.44140625" bestFit="1" customWidth="1"/>
    <col min="13" max="13" width="15.5546875" bestFit="1" customWidth="1"/>
    <col min="14" max="14" width="7.21875" bestFit="1" customWidth="1"/>
    <col min="15" max="15" width="11.88671875" bestFit="1" customWidth="1"/>
    <col min="16" max="16" width="11.33203125" bestFit="1" customWidth="1"/>
    <col min="17" max="17" width="5.77734375" bestFit="1" customWidth="1"/>
    <col min="18" max="18" width="11.88671875" bestFit="1" customWidth="1"/>
    <col min="19" max="19" width="11" bestFit="1" customWidth="1"/>
    <col min="20" max="20" width="6.6640625" bestFit="1" customWidth="1"/>
    <col min="22" max="22" width="11" bestFit="1" customWidth="1"/>
    <col min="23" max="23" width="10.5546875" bestFit="1" customWidth="1"/>
    <col min="25" max="25" width="12.44140625" bestFit="1" customWidth="1"/>
    <col min="26" max="26" width="16.77734375" bestFit="1" customWidth="1"/>
    <col min="27" max="27" width="13.109375" customWidth="1"/>
    <col min="28" max="28" width="12.44140625" bestFit="1" customWidth="1"/>
    <col min="29" max="29" width="20.33203125" bestFit="1" customWidth="1"/>
    <col min="30" max="37" width="15.5546875" bestFit="1" customWidth="1"/>
    <col min="38" max="39" width="10.5546875" bestFit="1" customWidth="1"/>
  </cols>
  <sheetData>
    <row r="2" spans="1:28" x14ac:dyDescent="0.3">
      <c r="A2" s="7" t="s">
        <v>972</v>
      </c>
      <c r="B2" s="3">
        <f>SUM(clean_purchase_orders[PO_Amount])</f>
        <v>12406069</v>
      </c>
    </row>
    <row r="3" spans="1:28" x14ac:dyDescent="0.3">
      <c r="A3" s="3"/>
      <c r="B3" s="3"/>
    </row>
    <row r="4" spans="1:28" x14ac:dyDescent="0.3">
      <c r="A4" s="7" t="s">
        <v>973</v>
      </c>
      <c r="B4" s="3">
        <f>COUNTA(Suppliers[Supplier_ID])</f>
        <v>50</v>
      </c>
    </row>
    <row r="5" spans="1:28" x14ac:dyDescent="0.3">
      <c r="A5" s="3"/>
      <c r="B5" s="3"/>
    </row>
    <row r="6" spans="1:28" x14ac:dyDescent="0.3">
      <c r="A6" s="7" t="s">
        <v>974</v>
      </c>
      <c r="B6" s="3">
        <f>SUM(clean_inventory[Inventory_Value])</f>
        <v>24681213</v>
      </c>
    </row>
    <row r="7" spans="1:28" x14ac:dyDescent="0.3">
      <c r="A7" s="3"/>
      <c r="B7" s="3"/>
    </row>
    <row r="8" spans="1:28" x14ac:dyDescent="0.3">
      <c r="A8" s="7" t="s">
        <v>975</v>
      </c>
      <c r="B8" s="3">
        <f>SUMIFS(clean_invoices[Final_Amount], clean_invoices[Payment_Status], "Pending")</f>
        <v>4637057.72</v>
      </c>
    </row>
    <row r="9" spans="1:28" x14ac:dyDescent="0.3">
      <c r="A9" s="3"/>
      <c r="B9" s="3"/>
    </row>
    <row r="10" spans="1:28" x14ac:dyDescent="0.3">
      <c r="A10" s="7" t="s">
        <v>976</v>
      </c>
      <c r="B10" s="3">
        <f>COUNTIFS(clean_shipments[Delay_Days], "&gt;0")</f>
        <v>155</v>
      </c>
    </row>
    <row r="11" spans="1:28" x14ac:dyDescent="0.3">
      <c r="A11" s="3"/>
      <c r="B11" s="3"/>
    </row>
    <row r="12" spans="1:28" x14ac:dyDescent="0.3">
      <c r="A12" s="7" t="s">
        <v>977</v>
      </c>
      <c r="B12" s="3">
        <f>COUNTIFS(clean_invoices[Invoice_Discrepancy], TRUE)</f>
        <v>38</v>
      </c>
    </row>
    <row r="15" spans="1:28" x14ac:dyDescent="0.3">
      <c r="A15" s="6" t="s">
        <v>978</v>
      </c>
      <c r="D15" s="6" t="s">
        <v>994</v>
      </c>
      <c r="H15" s="6" t="s">
        <v>997</v>
      </c>
      <c r="L15" s="6" t="s">
        <v>999</v>
      </c>
      <c r="Y15" s="6" t="s">
        <v>1002</v>
      </c>
      <c r="AB15" s="6" t="s">
        <v>1010</v>
      </c>
    </row>
    <row r="17" spans="1:29" x14ac:dyDescent="0.3">
      <c r="A17" s="4" t="s">
        <v>979</v>
      </c>
      <c r="B17" t="s">
        <v>981</v>
      </c>
      <c r="D17" s="4" t="s">
        <v>979</v>
      </c>
      <c r="E17" t="s">
        <v>995</v>
      </c>
      <c r="F17" t="s">
        <v>996</v>
      </c>
      <c r="H17" s="4" t="s">
        <v>979</v>
      </c>
      <c r="I17" t="s">
        <v>981</v>
      </c>
      <c r="J17" t="s">
        <v>998</v>
      </c>
      <c r="L17" s="4" t="s">
        <v>1001</v>
      </c>
      <c r="M17" s="4" t="s">
        <v>1000</v>
      </c>
      <c r="Y17" s="4" t="s">
        <v>979</v>
      </c>
      <c r="Z17" t="s">
        <v>981</v>
      </c>
      <c r="AB17" s="4" t="s">
        <v>979</v>
      </c>
      <c r="AC17" t="s">
        <v>1009</v>
      </c>
    </row>
    <row r="18" spans="1:29" x14ac:dyDescent="0.3">
      <c r="A18" s="5" t="s">
        <v>982</v>
      </c>
      <c r="B18" s="1">
        <v>1743132</v>
      </c>
      <c r="D18" s="5" t="s">
        <v>962</v>
      </c>
      <c r="E18" s="1">
        <v>4.0999999999999996</v>
      </c>
      <c r="F18" s="1">
        <v>12</v>
      </c>
      <c r="H18" s="5" t="s">
        <v>33</v>
      </c>
      <c r="I18" s="1">
        <v>1429160</v>
      </c>
      <c r="J18" s="1">
        <v>7205</v>
      </c>
      <c r="L18" s="4" t="s">
        <v>979</v>
      </c>
      <c r="M18" t="s">
        <v>33</v>
      </c>
      <c r="N18" t="s">
        <v>28</v>
      </c>
      <c r="O18" t="s">
        <v>19</v>
      </c>
      <c r="P18" t="s">
        <v>24</v>
      </c>
      <c r="Q18" t="s">
        <v>46</v>
      </c>
      <c r="R18" t="s">
        <v>30</v>
      </c>
      <c r="S18" t="s">
        <v>8</v>
      </c>
      <c r="T18" t="s">
        <v>11</v>
      </c>
      <c r="U18" t="s">
        <v>16</v>
      </c>
      <c r="V18" t="s">
        <v>14</v>
      </c>
      <c r="W18" t="s">
        <v>980</v>
      </c>
      <c r="Y18" s="5" t="s">
        <v>913</v>
      </c>
      <c r="Z18" s="9">
        <v>0.21794002596632342</v>
      </c>
      <c r="AB18" s="5" t="s">
        <v>12</v>
      </c>
      <c r="AC18" s="9">
        <v>0.22341786848158557</v>
      </c>
    </row>
    <row r="19" spans="1:29" x14ac:dyDescent="0.3">
      <c r="A19" s="5" t="s">
        <v>983</v>
      </c>
      <c r="B19" s="1">
        <v>915804</v>
      </c>
      <c r="D19" s="5" t="s">
        <v>948</v>
      </c>
      <c r="E19" s="1">
        <v>5</v>
      </c>
      <c r="F19" s="1">
        <v>11</v>
      </c>
      <c r="H19" s="5" t="s">
        <v>28</v>
      </c>
      <c r="I19" s="1">
        <v>1423061</v>
      </c>
      <c r="J19" s="1">
        <v>5618</v>
      </c>
      <c r="L19" s="5" t="s">
        <v>12</v>
      </c>
      <c r="M19" s="1">
        <v>1550</v>
      </c>
      <c r="N19" s="1">
        <v>1608</v>
      </c>
      <c r="O19" s="1">
        <v>1762</v>
      </c>
      <c r="P19" s="1">
        <v>295</v>
      </c>
      <c r="Q19" s="1">
        <v>2699</v>
      </c>
      <c r="R19" s="1">
        <v>2588</v>
      </c>
      <c r="S19" s="1">
        <v>3180</v>
      </c>
      <c r="T19" s="1">
        <v>2247</v>
      </c>
      <c r="U19" s="1">
        <v>2757</v>
      </c>
      <c r="V19" s="1">
        <v>3992</v>
      </c>
      <c r="W19" s="1">
        <v>22678</v>
      </c>
      <c r="Y19" s="5" t="s">
        <v>908</v>
      </c>
      <c r="Z19" s="9">
        <v>0.13133152814158941</v>
      </c>
      <c r="AB19" s="5" t="s">
        <v>17</v>
      </c>
      <c r="AC19" s="9">
        <v>0.21551250337655609</v>
      </c>
    </row>
    <row r="20" spans="1:29" x14ac:dyDescent="0.3">
      <c r="A20" s="5" t="s">
        <v>984</v>
      </c>
      <c r="B20" s="1">
        <v>792360</v>
      </c>
      <c r="D20" s="5" t="s">
        <v>959</v>
      </c>
      <c r="E20" s="1">
        <v>4.9000000000000004</v>
      </c>
      <c r="F20" s="1">
        <v>18</v>
      </c>
      <c r="H20" s="5" t="s">
        <v>19</v>
      </c>
      <c r="I20" s="1">
        <v>1011587</v>
      </c>
      <c r="J20" s="1">
        <v>5816</v>
      </c>
      <c r="L20" s="5" t="s">
        <v>17</v>
      </c>
      <c r="M20" s="1">
        <v>3482</v>
      </c>
      <c r="N20" s="1">
        <v>770</v>
      </c>
      <c r="O20" s="1">
        <v>2288</v>
      </c>
      <c r="P20" s="1">
        <v>2024</v>
      </c>
      <c r="Q20" s="1">
        <v>939</v>
      </c>
      <c r="R20" s="1">
        <v>3916</v>
      </c>
      <c r="S20" s="1">
        <v>1913</v>
      </c>
      <c r="T20" s="1">
        <v>733</v>
      </c>
      <c r="U20" s="1">
        <v>4631</v>
      </c>
      <c r="V20" s="1">
        <v>2217</v>
      </c>
      <c r="W20" s="1">
        <v>22913</v>
      </c>
      <c r="Y20" s="5" t="s">
        <v>915</v>
      </c>
      <c r="Z20" s="9">
        <v>0.26246508865942952</v>
      </c>
      <c r="AB20" s="5" t="s">
        <v>26</v>
      </c>
      <c r="AC20" s="9">
        <v>0.21616283608103054</v>
      </c>
    </row>
    <row r="21" spans="1:29" x14ac:dyDescent="0.3">
      <c r="A21" s="5" t="s">
        <v>985</v>
      </c>
      <c r="B21" s="1">
        <v>864086</v>
      </c>
      <c r="D21" s="5" t="s">
        <v>920</v>
      </c>
      <c r="E21" s="1">
        <v>4.0999999999999996</v>
      </c>
      <c r="F21" s="1">
        <v>25</v>
      </c>
      <c r="H21" s="5" t="s">
        <v>24</v>
      </c>
      <c r="I21" s="1">
        <v>1778992</v>
      </c>
      <c r="J21" s="1">
        <v>6709</v>
      </c>
      <c r="L21" s="5" t="s">
        <v>26</v>
      </c>
      <c r="M21" s="1">
        <v>2342</v>
      </c>
      <c r="N21" s="1">
        <v>617</v>
      </c>
      <c r="O21" s="1">
        <v>3729</v>
      </c>
      <c r="P21" s="1">
        <v>896</v>
      </c>
      <c r="Q21" s="1">
        <v>1607</v>
      </c>
      <c r="R21" s="1">
        <v>979</v>
      </c>
      <c r="S21" s="1">
        <v>1482</v>
      </c>
      <c r="T21" s="1">
        <v>3952</v>
      </c>
      <c r="U21" s="1">
        <v>3211</v>
      </c>
      <c r="V21" s="1">
        <v>167</v>
      </c>
      <c r="W21" s="1">
        <v>18982</v>
      </c>
      <c r="Y21" s="5" t="s">
        <v>926</v>
      </c>
      <c r="Z21" s="9">
        <v>0.10653398751852823</v>
      </c>
      <c r="AB21" s="5" t="s">
        <v>22</v>
      </c>
      <c r="AC21" s="9">
        <v>0.13978733541175631</v>
      </c>
    </row>
    <row r="22" spans="1:29" x14ac:dyDescent="0.3">
      <c r="A22" s="5" t="s">
        <v>986</v>
      </c>
      <c r="B22" s="1">
        <v>1541075</v>
      </c>
      <c r="D22" s="5" t="s">
        <v>939</v>
      </c>
      <c r="E22" s="1">
        <v>4.7</v>
      </c>
      <c r="F22" s="1">
        <v>4</v>
      </c>
      <c r="H22" s="5" t="s">
        <v>46</v>
      </c>
      <c r="I22" s="1">
        <v>1553723</v>
      </c>
      <c r="J22" s="1">
        <v>5679</v>
      </c>
      <c r="L22" s="5" t="s">
        <v>22</v>
      </c>
      <c r="M22" s="1">
        <v>351</v>
      </c>
      <c r="N22" s="1">
        <v>3936</v>
      </c>
      <c r="O22" s="1">
        <v>1599</v>
      </c>
      <c r="P22" s="1">
        <v>1515</v>
      </c>
      <c r="Q22" s="1">
        <v>1974</v>
      </c>
      <c r="R22" s="1">
        <v>2075</v>
      </c>
      <c r="S22" s="1">
        <v>1442</v>
      </c>
      <c r="T22" s="1">
        <v>1622</v>
      </c>
      <c r="U22" s="1">
        <v>806</v>
      </c>
      <c r="V22" s="1">
        <v>1084</v>
      </c>
      <c r="W22" s="1">
        <v>16404</v>
      </c>
      <c r="Y22" s="5" t="s">
        <v>911</v>
      </c>
      <c r="Z22" s="9">
        <v>0.24813556977637316</v>
      </c>
      <c r="AB22" s="5" t="s">
        <v>9</v>
      </c>
      <c r="AC22" s="9">
        <v>0.2051194566490715</v>
      </c>
    </row>
    <row r="23" spans="1:29" x14ac:dyDescent="0.3">
      <c r="A23" s="5" t="s">
        <v>987</v>
      </c>
      <c r="B23" s="1">
        <v>971692</v>
      </c>
      <c r="D23" s="5" t="s">
        <v>921</v>
      </c>
      <c r="E23" s="1">
        <v>4.9000000000000004</v>
      </c>
      <c r="F23" s="1">
        <v>9</v>
      </c>
      <c r="H23" s="5" t="s">
        <v>30</v>
      </c>
      <c r="I23" s="1">
        <v>1272711</v>
      </c>
      <c r="J23" s="1">
        <v>4936</v>
      </c>
      <c r="L23" s="5" t="s">
        <v>9</v>
      </c>
      <c r="M23" s="1">
        <v>3177</v>
      </c>
      <c r="N23" s="1">
        <v>603</v>
      </c>
      <c r="O23" s="1">
        <v>892</v>
      </c>
      <c r="P23" s="1">
        <v>4011</v>
      </c>
      <c r="Q23" s="1">
        <v>2270</v>
      </c>
      <c r="R23" s="1">
        <v>758</v>
      </c>
      <c r="S23" s="1">
        <v>3925</v>
      </c>
      <c r="T23" s="1">
        <v>1466</v>
      </c>
      <c r="U23" s="1">
        <v>1618</v>
      </c>
      <c r="V23" s="1">
        <v>3684</v>
      </c>
      <c r="W23" s="1">
        <v>22404</v>
      </c>
      <c r="Y23" s="5" t="s">
        <v>964</v>
      </c>
      <c r="Z23" s="9">
        <v>3.3593799937756269E-2</v>
      </c>
      <c r="AB23" s="5" t="s">
        <v>980</v>
      </c>
      <c r="AC23" s="9">
        <v>1</v>
      </c>
    </row>
    <row r="24" spans="1:29" x14ac:dyDescent="0.3">
      <c r="A24" s="5" t="s">
        <v>988</v>
      </c>
      <c r="B24" s="1">
        <v>1145358</v>
      </c>
      <c r="D24" s="5" t="s">
        <v>909</v>
      </c>
      <c r="E24" s="1">
        <v>4.5</v>
      </c>
      <c r="F24" s="1">
        <v>6</v>
      </c>
      <c r="H24" s="5" t="s">
        <v>8</v>
      </c>
      <c r="I24" s="1">
        <v>416770</v>
      </c>
      <c r="J24" s="1">
        <v>2248</v>
      </c>
      <c r="L24" s="5" t="s">
        <v>980</v>
      </c>
      <c r="M24" s="1">
        <v>10902</v>
      </c>
      <c r="N24" s="1">
        <v>7534</v>
      </c>
      <c r="O24" s="1">
        <v>10270</v>
      </c>
      <c r="P24" s="1">
        <v>8741</v>
      </c>
      <c r="Q24" s="1">
        <v>9489</v>
      </c>
      <c r="R24" s="1">
        <v>10316</v>
      </c>
      <c r="S24" s="1">
        <v>11942</v>
      </c>
      <c r="T24" s="1">
        <v>10020</v>
      </c>
      <c r="U24" s="1">
        <v>13023</v>
      </c>
      <c r="V24" s="1">
        <v>11144</v>
      </c>
      <c r="W24" s="1">
        <v>103381</v>
      </c>
      <c r="Y24" s="5" t="s">
        <v>980</v>
      </c>
      <c r="Z24" s="9">
        <v>1</v>
      </c>
    </row>
    <row r="25" spans="1:29" x14ac:dyDescent="0.3">
      <c r="A25" s="5" t="s">
        <v>989</v>
      </c>
      <c r="B25" s="1">
        <v>708923</v>
      </c>
      <c r="D25" s="5" t="s">
        <v>968</v>
      </c>
      <c r="E25" s="1">
        <v>3.5</v>
      </c>
      <c r="F25" s="1">
        <v>10</v>
      </c>
      <c r="H25" s="5" t="s">
        <v>11</v>
      </c>
      <c r="I25" s="1">
        <v>992358</v>
      </c>
      <c r="J25" s="1">
        <v>4206</v>
      </c>
    </row>
    <row r="26" spans="1:29" x14ac:dyDescent="0.3">
      <c r="A26" s="5" t="s">
        <v>990</v>
      </c>
      <c r="B26" s="1">
        <v>1210333</v>
      </c>
      <c r="D26" s="5" t="s">
        <v>935</v>
      </c>
      <c r="E26" s="1">
        <v>3.8</v>
      </c>
      <c r="F26" s="1">
        <v>23</v>
      </c>
      <c r="H26" s="5" t="s">
        <v>16</v>
      </c>
      <c r="I26" s="1">
        <v>1048188</v>
      </c>
      <c r="J26" s="1">
        <v>3261</v>
      </c>
    </row>
    <row r="27" spans="1:29" x14ac:dyDescent="0.3">
      <c r="A27" s="5" t="s">
        <v>991</v>
      </c>
      <c r="B27" s="1">
        <v>945460</v>
      </c>
      <c r="D27" s="5" t="s">
        <v>940</v>
      </c>
      <c r="E27" s="1">
        <v>3.8</v>
      </c>
      <c r="F27" s="1">
        <v>5</v>
      </c>
      <c r="H27" s="5" t="s">
        <v>14</v>
      </c>
      <c r="I27" s="1">
        <v>1479519</v>
      </c>
      <c r="J27" s="1">
        <v>5451</v>
      </c>
    </row>
    <row r="28" spans="1:29" x14ac:dyDescent="0.3">
      <c r="A28" s="5" t="s">
        <v>992</v>
      </c>
      <c r="B28" s="1">
        <v>1073550</v>
      </c>
      <c r="D28" s="5" t="s">
        <v>918</v>
      </c>
      <c r="E28" s="1">
        <v>4.4000000000000004</v>
      </c>
      <c r="F28" s="1">
        <v>17</v>
      </c>
      <c r="H28" s="5" t="s">
        <v>980</v>
      </c>
      <c r="I28" s="1">
        <v>12406069</v>
      </c>
      <c r="J28" s="1">
        <v>51129</v>
      </c>
    </row>
    <row r="29" spans="1:29" x14ac:dyDescent="0.3">
      <c r="A29" s="5" t="s">
        <v>993</v>
      </c>
      <c r="B29" s="1">
        <v>494296</v>
      </c>
      <c r="D29" s="5" t="s">
        <v>923</v>
      </c>
      <c r="E29" s="1">
        <v>4.0999999999999996</v>
      </c>
      <c r="F29" s="1">
        <v>5</v>
      </c>
    </row>
    <row r="30" spans="1:29" x14ac:dyDescent="0.3">
      <c r="A30" s="5" t="s">
        <v>980</v>
      </c>
      <c r="B30" s="1">
        <v>12406069</v>
      </c>
      <c r="D30" s="5" t="s">
        <v>970</v>
      </c>
      <c r="E30" s="1">
        <v>3.9</v>
      </c>
      <c r="F30" s="1">
        <v>19</v>
      </c>
    </row>
    <row r="31" spans="1:29" x14ac:dyDescent="0.3">
      <c r="D31" s="5" t="s">
        <v>944</v>
      </c>
      <c r="E31" s="1">
        <v>5</v>
      </c>
      <c r="F31" s="1">
        <v>10</v>
      </c>
    </row>
    <row r="32" spans="1:29" x14ac:dyDescent="0.3">
      <c r="D32" s="5" t="s">
        <v>971</v>
      </c>
      <c r="E32" s="1">
        <v>3.7</v>
      </c>
      <c r="F32" s="1">
        <v>20</v>
      </c>
      <c r="H32" s="6" t="s">
        <v>1003</v>
      </c>
    </row>
    <row r="33" spans="4:10" x14ac:dyDescent="0.3">
      <c r="D33" s="5" t="s">
        <v>950</v>
      </c>
      <c r="E33" s="1">
        <v>3.7</v>
      </c>
      <c r="F33" s="1">
        <v>13</v>
      </c>
    </row>
    <row r="34" spans="4:10" x14ac:dyDescent="0.3">
      <c r="D34" s="5" t="s">
        <v>912</v>
      </c>
      <c r="E34" s="1">
        <v>3.5</v>
      </c>
      <c r="F34" s="1">
        <v>16</v>
      </c>
      <c r="H34" s="10" t="s">
        <v>1004</v>
      </c>
      <c r="I34" s="11" t="s">
        <v>1005</v>
      </c>
      <c r="J34" s="10" t="s">
        <v>1006</v>
      </c>
    </row>
    <row r="35" spans="4:10" ht="13.2" customHeight="1" x14ac:dyDescent="0.3">
      <c r="D35" s="5" t="s">
        <v>949</v>
      </c>
      <c r="E35" s="1">
        <v>4.5</v>
      </c>
      <c r="F35" s="1">
        <v>6</v>
      </c>
      <c r="H35" t="str" cm="1">
        <f t="array" ref="H35:H234">clean_purchase_orders[PO_Month]</f>
        <v>2026-05</v>
      </c>
      <c r="I35">
        <f>SUMIFS(clean_purchase_orders[PO_Amount],  clean_purchase_orders[PO_Month], $H35)</f>
        <v>1541075</v>
      </c>
      <c r="J35">
        <f>SUMIFS(clean_invoices[Final_Amount],
       clean_invoices[Inv_Month], $H35)</f>
        <v>1653271.08</v>
      </c>
    </row>
    <row r="36" spans="4:10" x14ac:dyDescent="0.3">
      <c r="D36" s="5" t="s">
        <v>954</v>
      </c>
      <c r="E36" s="1">
        <v>4.5999999999999996</v>
      </c>
      <c r="F36" s="1">
        <v>14</v>
      </c>
      <c r="H36" t="str">
        <v>2025-07</v>
      </c>
      <c r="I36">
        <f>SUMIFS(clean_purchase_orders[PO_Amount],  clean_purchase_orders[PO_Month], $H36)</f>
        <v>1127808</v>
      </c>
      <c r="J36">
        <f>SUMIFS(clean_invoices[Final_Amount],
       clean_invoices[Inv_Month], $H36)</f>
        <v>1121722.9200000002</v>
      </c>
    </row>
    <row r="37" spans="4:10" x14ac:dyDescent="0.3">
      <c r="D37" s="5" t="s">
        <v>906</v>
      </c>
      <c r="E37" s="1">
        <v>3.9</v>
      </c>
      <c r="F37" s="1">
        <v>11</v>
      </c>
      <c r="H37" t="str">
        <v>2025-09</v>
      </c>
      <c r="I37">
        <f>SUMIFS(clean_purchase_orders[PO_Amount],  clean_purchase_orders[PO_Month], $H37)</f>
        <v>1210333</v>
      </c>
      <c r="J37">
        <f>SUMIFS(clean_invoices[Final_Amount],
       clean_invoices[Inv_Month], $H37)</f>
        <v>1436405.7999999998</v>
      </c>
    </row>
    <row r="38" spans="4:10" x14ac:dyDescent="0.3">
      <c r="D38" s="5" t="s">
        <v>952</v>
      </c>
      <c r="E38" s="1">
        <v>4.3</v>
      </c>
      <c r="F38" s="1">
        <v>8</v>
      </c>
      <c r="H38" t="str">
        <v>2025-12</v>
      </c>
      <c r="I38">
        <f>SUMIFS(clean_purchase_orders[PO_Amount],  clean_purchase_orders[PO_Month], $H38)</f>
        <v>494296</v>
      </c>
      <c r="J38">
        <f>SUMIFS(clean_invoices[Final_Amount],
       clean_invoices[Inv_Month], $H38)</f>
        <v>657403.99999999977</v>
      </c>
    </row>
    <row r="39" spans="4:10" x14ac:dyDescent="0.3">
      <c r="D39" s="5" t="s">
        <v>947</v>
      </c>
      <c r="E39" s="1">
        <v>4.0999999999999996</v>
      </c>
      <c r="F39" s="1">
        <v>5</v>
      </c>
      <c r="H39" t="str">
        <v>2026-03</v>
      </c>
      <c r="I39">
        <f>SUMIFS(clean_purchase_orders[PO_Amount],  clean_purchase_orders[PO_Month], $H39)</f>
        <v>792360</v>
      </c>
      <c r="J39">
        <f>SUMIFS(clean_invoices[Final_Amount],
       clean_invoices[Inv_Month], $H39)</f>
        <v>662515.67999999993</v>
      </c>
    </row>
    <row r="40" spans="4:10" x14ac:dyDescent="0.3">
      <c r="D40" s="5" t="s">
        <v>960</v>
      </c>
      <c r="E40" s="1">
        <v>4.8</v>
      </c>
      <c r="F40" s="1">
        <v>19</v>
      </c>
      <c r="H40" t="str">
        <v>2026-05</v>
      </c>
      <c r="I40">
        <f>SUMIFS(clean_purchase_orders[PO_Amount],  clean_purchase_orders[PO_Month], $H40)</f>
        <v>1541075</v>
      </c>
      <c r="J40">
        <f>SUMIFS(clean_invoices[Final_Amount],
       clean_invoices[Inv_Month], $H40)</f>
        <v>1653271.08</v>
      </c>
    </row>
    <row r="41" spans="4:10" x14ac:dyDescent="0.3">
      <c r="D41" s="5" t="s">
        <v>963</v>
      </c>
      <c r="E41" s="1">
        <v>4.2</v>
      </c>
      <c r="F41" s="1">
        <v>19</v>
      </c>
      <c r="H41" t="str">
        <v>2025-10</v>
      </c>
      <c r="I41">
        <f>SUMIFS(clean_purchase_orders[PO_Amount],  clean_purchase_orders[PO_Month], $H41)</f>
        <v>945460</v>
      </c>
      <c r="J41">
        <f>SUMIFS(clean_invoices[Final_Amount],
       clean_invoices[Inv_Month], $H41)</f>
        <v>1044033.1200000001</v>
      </c>
    </row>
    <row r="42" spans="4:10" x14ac:dyDescent="0.3">
      <c r="D42" s="5" t="s">
        <v>942</v>
      </c>
      <c r="E42" s="1">
        <v>3.7</v>
      </c>
      <c r="F42" s="1">
        <v>11</v>
      </c>
      <c r="H42" t="str">
        <v>2025-12</v>
      </c>
      <c r="I42">
        <f>SUMIFS(clean_purchase_orders[PO_Amount],  clean_purchase_orders[PO_Month], $H42)</f>
        <v>494296</v>
      </c>
      <c r="J42">
        <f>SUMIFS(clean_invoices[Final_Amount],
       clean_invoices[Inv_Month], $H42)</f>
        <v>657403.99999999977</v>
      </c>
    </row>
    <row r="43" spans="4:10" x14ac:dyDescent="0.3">
      <c r="D43" s="5" t="s">
        <v>914</v>
      </c>
      <c r="E43" s="1">
        <v>4.3</v>
      </c>
      <c r="F43" s="1">
        <v>10</v>
      </c>
      <c r="H43" t="str">
        <v>2025-09</v>
      </c>
      <c r="I43">
        <f>SUMIFS(clean_purchase_orders[PO_Amount],  clean_purchase_orders[PO_Month], $H43)</f>
        <v>1210333</v>
      </c>
      <c r="J43">
        <f>SUMIFS(clean_invoices[Final_Amount],
       clean_invoices[Inv_Month], $H43)</f>
        <v>1436405.7999999998</v>
      </c>
    </row>
    <row r="44" spans="4:10" x14ac:dyDescent="0.3">
      <c r="D44" s="5" t="s">
        <v>925</v>
      </c>
      <c r="E44" s="1">
        <v>3.9</v>
      </c>
      <c r="F44" s="1">
        <v>22</v>
      </c>
      <c r="H44" t="str">
        <v>2026-04</v>
      </c>
      <c r="I44">
        <f>SUMIFS(clean_purchase_orders[PO_Amount],  clean_purchase_orders[PO_Month], $H44)</f>
        <v>864086</v>
      </c>
      <c r="J44">
        <f>SUMIFS(clean_invoices[Final_Amount],
       clean_invoices[Inv_Month], $H44)</f>
        <v>938369.04</v>
      </c>
    </row>
    <row r="45" spans="4:10" x14ac:dyDescent="0.3">
      <c r="D45" s="5" t="s">
        <v>927</v>
      </c>
      <c r="E45" s="1">
        <v>4.3</v>
      </c>
      <c r="F45" s="1">
        <v>17</v>
      </c>
      <c r="H45" t="str">
        <v>2026-01</v>
      </c>
      <c r="I45">
        <f>SUMIFS(clean_purchase_orders[PO_Amount],  clean_purchase_orders[PO_Month], $H45)</f>
        <v>1743132</v>
      </c>
      <c r="J45">
        <f>SUMIFS(clean_invoices[Final_Amount],
       clean_invoices[Inv_Month], $H45)</f>
        <v>1895543.0799999998</v>
      </c>
    </row>
    <row r="46" spans="4:10" x14ac:dyDescent="0.3">
      <c r="D46" s="5" t="s">
        <v>958</v>
      </c>
      <c r="E46" s="1">
        <v>4.5999999999999996</v>
      </c>
      <c r="F46" s="1">
        <v>20</v>
      </c>
      <c r="H46" t="str">
        <v>2026-04</v>
      </c>
      <c r="I46">
        <f>SUMIFS(clean_purchase_orders[PO_Amount],  clean_purchase_orders[PO_Month], $H46)</f>
        <v>864086</v>
      </c>
      <c r="J46">
        <f>SUMIFS(clean_invoices[Final_Amount],
       clean_invoices[Inv_Month], $H46)</f>
        <v>938369.04</v>
      </c>
    </row>
    <row r="47" spans="4:10" x14ac:dyDescent="0.3">
      <c r="D47" s="5" t="s">
        <v>936</v>
      </c>
      <c r="E47" s="1">
        <v>4.0999999999999996</v>
      </c>
      <c r="F47" s="1">
        <v>17</v>
      </c>
      <c r="H47" t="str">
        <v>2025-08</v>
      </c>
      <c r="I47">
        <f>SUMIFS(clean_purchase_orders[PO_Amount],  clean_purchase_orders[PO_Month], $H47)</f>
        <v>708923</v>
      </c>
      <c r="J47">
        <f>SUMIFS(clean_invoices[Final_Amount],
       clean_invoices[Inv_Month], $H47)</f>
        <v>634312.72</v>
      </c>
    </row>
    <row r="48" spans="4:10" x14ac:dyDescent="0.3">
      <c r="D48" s="5" t="s">
        <v>966</v>
      </c>
      <c r="E48" s="1">
        <v>4</v>
      </c>
      <c r="F48" s="1">
        <v>5</v>
      </c>
      <c r="H48" t="str">
        <v>2026-03</v>
      </c>
      <c r="I48">
        <f>SUMIFS(clean_purchase_orders[PO_Amount],  clean_purchase_orders[PO_Month], $H48)</f>
        <v>792360</v>
      </c>
      <c r="J48">
        <f>SUMIFS(clean_invoices[Final_Amount],
       clean_invoices[Inv_Month], $H48)</f>
        <v>662515.67999999993</v>
      </c>
    </row>
    <row r="49" spans="4:10" x14ac:dyDescent="0.3">
      <c r="D49" s="5" t="s">
        <v>941</v>
      </c>
      <c r="E49" s="1">
        <v>4.2</v>
      </c>
      <c r="F49" s="1">
        <v>23</v>
      </c>
      <c r="H49" t="str">
        <v>2025-12</v>
      </c>
      <c r="I49">
        <f>SUMIFS(clean_purchase_orders[PO_Amount],  clean_purchase_orders[PO_Month], $H49)</f>
        <v>494296</v>
      </c>
      <c r="J49">
        <f>SUMIFS(clean_invoices[Final_Amount],
       clean_invoices[Inv_Month], $H49)</f>
        <v>657403.99999999977</v>
      </c>
    </row>
    <row r="50" spans="4:10" x14ac:dyDescent="0.3">
      <c r="D50" s="5" t="s">
        <v>946</v>
      </c>
      <c r="E50" s="1">
        <v>4.4000000000000004</v>
      </c>
      <c r="F50" s="1">
        <v>7</v>
      </c>
      <c r="H50" t="str">
        <v>2026-05</v>
      </c>
      <c r="I50">
        <f>SUMIFS(clean_purchase_orders[PO_Amount],  clean_purchase_orders[PO_Month], $H50)</f>
        <v>1541075</v>
      </c>
      <c r="J50">
        <f>SUMIFS(clean_invoices[Final_Amount],
       clean_invoices[Inv_Month], $H50)</f>
        <v>1653271.08</v>
      </c>
    </row>
    <row r="51" spans="4:10" x14ac:dyDescent="0.3">
      <c r="D51" s="5" t="s">
        <v>931</v>
      </c>
      <c r="E51" s="1">
        <v>4.0999999999999996</v>
      </c>
      <c r="F51" s="1">
        <v>6</v>
      </c>
      <c r="H51" t="str">
        <v>2026-02</v>
      </c>
      <c r="I51">
        <f>SUMIFS(clean_purchase_orders[PO_Amount],  clean_purchase_orders[PO_Month], $H51)</f>
        <v>915804</v>
      </c>
      <c r="J51">
        <f>SUMIFS(clean_invoices[Final_Amount],
       clean_invoices[Inv_Month], $H51)</f>
        <v>980107.32</v>
      </c>
    </row>
    <row r="52" spans="4:10" x14ac:dyDescent="0.3">
      <c r="D52" s="5" t="s">
        <v>955</v>
      </c>
      <c r="E52" s="1">
        <v>4.2</v>
      </c>
      <c r="F52" s="1">
        <v>13</v>
      </c>
      <c r="H52" t="str">
        <v>2025-11</v>
      </c>
      <c r="I52">
        <f>SUMIFS(clean_purchase_orders[PO_Amount],  clean_purchase_orders[PO_Month], $H52)</f>
        <v>1073550</v>
      </c>
      <c r="J52">
        <f>SUMIFS(clean_invoices[Final_Amount],
       clean_invoices[Inv_Month], $H52)</f>
        <v>1086456.5199999998</v>
      </c>
    </row>
    <row r="53" spans="4:10" x14ac:dyDescent="0.3">
      <c r="D53" s="5" t="s">
        <v>932</v>
      </c>
      <c r="E53" s="1">
        <v>3.7</v>
      </c>
      <c r="F53" s="1">
        <v>14</v>
      </c>
      <c r="H53" t="str">
        <v>2025-10</v>
      </c>
      <c r="I53">
        <f>SUMIFS(clean_purchase_orders[PO_Amount],  clean_purchase_orders[PO_Month], $H53)</f>
        <v>945460</v>
      </c>
      <c r="J53">
        <f>SUMIFS(clean_invoices[Final_Amount],
       clean_invoices[Inv_Month], $H53)</f>
        <v>1044033.1200000001</v>
      </c>
    </row>
    <row r="54" spans="4:10" x14ac:dyDescent="0.3">
      <c r="D54" s="5" t="s">
        <v>929</v>
      </c>
      <c r="E54" s="1">
        <v>4.5999999999999996</v>
      </c>
      <c r="F54" s="1">
        <v>9</v>
      </c>
      <c r="H54" t="str">
        <v>2026-01</v>
      </c>
      <c r="I54">
        <f>SUMIFS(clean_purchase_orders[PO_Amount],  clean_purchase_orders[PO_Month], $H54)</f>
        <v>1743132</v>
      </c>
      <c r="J54">
        <f>SUMIFS(clean_invoices[Final_Amount],
       clean_invoices[Inv_Month], $H54)</f>
        <v>1895543.0799999998</v>
      </c>
    </row>
    <row r="55" spans="4:10" x14ac:dyDescent="0.3">
      <c r="D55" s="5" t="s">
        <v>961</v>
      </c>
      <c r="E55" s="1">
        <v>4.5999999999999996</v>
      </c>
      <c r="F55" s="1">
        <v>20</v>
      </c>
      <c r="H55" t="str">
        <v>2025-07</v>
      </c>
      <c r="I55">
        <f>SUMIFS(clean_purchase_orders[PO_Amount],  clean_purchase_orders[PO_Month], $H55)</f>
        <v>1127808</v>
      </c>
      <c r="J55">
        <f>SUMIFS(clean_invoices[Final_Amount],
       clean_invoices[Inv_Month], $H55)</f>
        <v>1121722.9200000002</v>
      </c>
    </row>
    <row r="56" spans="4:10" x14ac:dyDescent="0.3">
      <c r="D56" s="5" t="s">
        <v>938</v>
      </c>
      <c r="E56" s="1">
        <v>4.8</v>
      </c>
      <c r="F56" s="1">
        <v>13</v>
      </c>
      <c r="H56" t="str">
        <v>2026-01</v>
      </c>
      <c r="I56">
        <f>SUMIFS(clean_purchase_orders[PO_Amount],  clean_purchase_orders[PO_Month], $H56)</f>
        <v>1743132</v>
      </c>
      <c r="J56">
        <f>SUMIFS(clean_invoices[Final_Amount],
       clean_invoices[Inv_Month], $H56)</f>
        <v>1895543.0799999998</v>
      </c>
    </row>
    <row r="57" spans="4:10" x14ac:dyDescent="0.3">
      <c r="D57" s="5" t="s">
        <v>951</v>
      </c>
      <c r="E57" s="1">
        <v>3.5</v>
      </c>
      <c r="F57" s="1">
        <v>17</v>
      </c>
      <c r="H57" t="str">
        <v>2026-03</v>
      </c>
      <c r="I57">
        <f>SUMIFS(clean_purchase_orders[PO_Amount],  clean_purchase_orders[PO_Month], $H57)</f>
        <v>792360</v>
      </c>
      <c r="J57">
        <f>SUMIFS(clean_invoices[Final_Amount],
       clean_invoices[Inv_Month], $H57)</f>
        <v>662515.67999999993</v>
      </c>
    </row>
    <row r="58" spans="4:10" x14ac:dyDescent="0.3">
      <c r="D58" s="5" t="s">
        <v>916</v>
      </c>
      <c r="E58" s="1">
        <v>4.5999999999999996</v>
      </c>
      <c r="F58" s="1">
        <v>9</v>
      </c>
      <c r="H58" t="str">
        <v>2025-11</v>
      </c>
      <c r="I58">
        <f>SUMIFS(clean_purchase_orders[PO_Amount],  clean_purchase_orders[PO_Month], $H58)</f>
        <v>1073550</v>
      </c>
      <c r="J58">
        <f>SUMIFS(clean_invoices[Final_Amount],
       clean_invoices[Inv_Month], $H58)</f>
        <v>1086456.5199999998</v>
      </c>
    </row>
    <row r="59" spans="4:10" x14ac:dyDescent="0.3">
      <c r="D59" s="5" t="s">
        <v>969</v>
      </c>
      <c r="E59" s="1">
        <v>4.9000000000000004</v>
      </c>
      <c r="F59" s="1">
        <v>5</v>
      </c>
      <c r="H59" t="str">
        <v>2026-02</v>
      </c>
      <c r="I59">
        <f>SUMIFS(clean_purchase_orders[PO_Amount],  clean_purchase_orders[PO_Month], $H59)</f>
        <v>915804</v>
      </c>
      <c r="J59">
        <f>SUMIFS(clean_invoices[Final_Amount],
       clean_invoices[Inv_Month], $H59)</f>
        <v>980107.32</v>
      </c>
    </row>
    <row r="60" spans="4:10" x14ac:dyDescent="0.3">
      <c r="D60" s="5" t="s">
        <v>934</v>
      </c>
      <c r="E60" s="1">
        <v>3.9</v>
      </c>
      <c r="F60" s="1">
        <v>24</v>
      </c>
      <c r="H60" t="str">
        <v>2026-04</v>
      </c>
      <c r="I60">
        <f>SUMIFS(clean_purchase_orders[PO_Amount],  clean_purchase_orders[PO_Month], $H60)</f>
        <v>864086</v>
      </c>
      <c r="J60">
        <f>SUMIFS(clean_invoices[Final_Amount],
       clean_invoices[Inv_Month], $H60)</f>
        <v>938369.04</v>
      </c>
    </row>
    <row r="61" spans="4:10" x14ac:dyDescent="0.3">
      <c r="D61" s="5" t="s">
        <v>943</v>
      </c>
      <c r="E61" s="1">
        <v>4.0999999999999996</v>
      </c>
      <c r="F61" s="1">
        <v>21</v>
      </c>
      <c r="H61" t="str">
        <v>2025-12</v>
      </c>
      <c r="I61">
        <f>SUMIFS(clean_purchase_orders[PO_Amount],  clean_purchase_orders[PO_Month], $H61)</f>
        <v>494296</v>
      </c>
      <c r="J61">
        <f>SUMIFS(clean_invoices[Final_Amount],
       clean_invoices[Inv_Month], $H61)</f>
        <v>657403.99999999977</v>
      </c>
    </row>
    <row r="62" spans="4:10" x14ac:dyDescent="0.3">
      <c r="D62" s="5" t="s">
        <v>953</v>
      </c>
      <c r="E62" s="1">
        <v>4.8</v>
      </c>
      <c r="F62" s="1">
        <v>12</v>
      </c>
      <c r="H62" t="str">
        <v>2025-09</v>
      </c>
      <c r="I62">
        <f>SUMIFS(clean_purchase_orders[PO_Amount],  clean_purchase_orders[PO_Month], $H62)</f>
        <v>1210333</v>
      </c>
      <c r="J62">
        <f>SUMIFS(clean_invoices[Final_Amount],
       clean_invoices[Inv_Month], $H62)</f>
        <v>1436405.7999999998</v>
      </c>
    </row>
    <row r="63" spans="4:10" x14ac:dyDescent="0.3">
      <c r="D63" s="5" t="s">
        <v>930</v>
      </c>
      <c r="E63" s="1">
        <v>4.7</v>
      </c>
      <c r="F63" s="1">
        <v>10</v>
      </c>
      <c r="H63" t="str">
        <v>2025-07</v>
      </c>
      <c r="I63">
        <f>SUMIFS(clean_purchase_orders[PO_Amount],  clean_purchase_orders[PO_Month], $H63)</f>
        <v>1127808</v>
      </c>
      <c r="J63">
        <f>SUMIFS(clean_invoices[Final_Amount],
       clean_invoices[Inv_Month], $H63)</f>
        <v>1121722.9200000002</v>
      </c>
    </row>
    <row r="64" spans="4:10" x14ac:dyDescent="0.3">
      <c r="D64" s="5" t="s">
        <v>956</v>
      </c>
      <c r="E64" s="1">
        <v>3.9</v>
      </c>
      <c r="F64" s="1">
        <v>12</v>
      </c>
      <c r="H64" t="str">
        <v>2025-10</v>
      </c>
      <c r="I64">
        <f>SUMIFS(clean_purchase_orders[PO_Amount],  clean_purchase_orders[PO_Month], $H64)</f>
        <v>945460</v>
      </c>
      <c r="J64">
        <f>SUMIFS(clean_invoices[Final_Amount],
       clean_invoices[Inv_Month], $H64)</f>
        <v>1044033.1200000001</v>
      </c>
    </row>
    <row r="65" spans="4:10" x14ac:dyDescent="0.3">
      <c r="D65" s="5" t="s">
        <v>957</v>
      </c>
      <c r="E65" s="1">
        <v>3.6</v>
      </c>
      <c r="F65" s="1">
        <v>5</v>
      </c>
      <c r="H65" t="str">
        <v>2025-09</v>
      </c>
      <c r="I65">
        <f>SUMIFS(clean_purchase_orders[PO_Amount],  clean_purchase_orders[PO_Month], $H65)</f>
        <v>1210333</v>
      </c>
      <c r="J65">
        <f>SUMIFS(clean_invoices[Final_Amount],
       clean_invoices[Inv_Month], $H65)</f>
        <v>1436405.7999999998</v>
      </c>
    </row>
    <row r="66" spans="4:10" x14ac:dyDescent="0.3">
      <c r="D66" s="5" t="s">
        <v>928</v>
      </c>
      <c r="E66" s="1">
        <v>3.9</v>
      </c>
      <c r="F66" s="1">
        <v>20</v>
      </c>
      <c r="H66" t="str">
        <v>2026-02</v>
      </c>
      <c r="I66">
        <f>SUMIFS(clean_purchase_orders[PO_Amount],  clean_purchase_orders[PO_Month], $H66)</f>
        <v>915804</v>
      </c>
      <c r="J66">
        <f>SUMIFS(clean_invoices[Final_Amount],
       clean_invoices[Inv_Month], $H66)</f>
        <v>980107.32</v>
      </c>
    </row>
    <row r="67" spans="4:10" x14ac:dyDescent="0.3">
      <c r="D67" s="5" t="s">
        <v>945</v>
      </c>
      <c r="E67" s="1">
        <v>3.6</v>
      </c>
      <c r="F67" s="1">
        <v>18</v>
      </c>
      <c r="H67" t="str">
        <v>2026-01</v>
      </c>
      <c r="I67">
        <f>SUMIFS(clean_purchase_orders[PO_Amount],  clean_purchase_orders[PO_Month], $H67)</f>
        <v>1743132</v>
      </c>
      <c r="J67">
        <f>SUMIFS(clean_invoices[Final_Amount],
       clean_invoices[Inv_Month], $H67)</f>
        <v>1895543.0799999998</v>
      </c>
    </row>
    <row r="68" spans="4:10" x14ac:dyDescent="0.3">
      <c r="D68" s="5" t="s">
        <v>980</v>
      </c>
      <c r="E68" s="1">
        <v>4.2199999999999989</v>
      </c>
      <c r="F68" s="1">
        <v>13.3</v>
      </c>
      <c r="H68" t="str">
        <v>2025-09</v>
      </c>
      <c r="I68">
        <f>SUMIFS(clean_purchase_orders[PO_Amount],  clean_purchase_orders[PO_Month], $H68)</f>
        <v>1210333</v>
      </c>
      <c r="J68">
        <f>SUMIFS(clean_invoices[Final_Amount],
       clean_invoices[Inv_Month], $H68)</f>
        <v>1436405.7999999998</v>
      </c>
    </row>
    <row r="69" spans="4:10" x14ac:dyDescent="0.3">
      <c r="H69" t="str">
        <v>2026-03</v>
      </c>
      <c r="I69">
        <f>SUMIFS(clean_purchase_orders[PO_Amount],  clean_purchase_orders[PO_Month], $H69)</f>
        <v>792360</v>
      </c>
      <c r="J69">
        <f>SUMIFS(clean_invoices[Final_Amount],
       clean_invoices[Inv_Month], $H69)</f>
        <v>662515.67999999993</v>
      </c>
    </row>
    <row r="70" spans="4:10" x14ac:dyDescent="0.3">
      <c r="H70" t="str">
        <v>2026-01</v>
      </c>
      <c r="I70">
        <f>SUMIFS(clean_purchase_orders[PO_Amount],  clean_purchase_orders[PO_Month], $H70)</f>
        <v>1743132</v>
      </c>
      <c r="J70">
        <f>SUMIFS(clean_invoices[Final_Amount],
       clean_invoices[Inv_Month], $H70)</f>
        <v>1895543.0799999998</v>
      </c>
    </row>
    <row r="71" spans="4:10" x14ac:dyDescent="0.3">
      <c r="H71" t="str">
        <v>2026-05</v>
      </c>
      <c r="I71">
        <f>SUMIFS(clean_purchase_orders[PO_Amount],  clean_purchase_orders[PO_Month], $H71)</f>
        <v>1541075</v>
      </c>
      <c r="J71">
        <f>SUMIFS(clean_invoices[Final_Amount],
       clean_invoices[Inv_Month], $H71)</f>
        <v>1653271.08</v>
      </c>
    </row>
    <row r="72" spans="4:10" x14ac:dyDescent="0.3">
      <c r="H72" t="str">
        <v>2025-10</v>
      </c>
      <c r="I72">
        <f>SUMIFS(clean_purchase_orders[PO_Amount],  clean_purchase_orders[PO_Month], $H72)</f>
        <v>945460</v>
      </c>
      <c r="J72">
        <f>SUMIFS(clean_invoices[Final_Amount],
       clean_invoices[Inv_Month], $H72)</f>
        <v>1044033.1200000001</v>
      </c>
    </row>
    <row r="73" spans="4:10" x14ac:dyDescent="0.3">
      <c r="H73" t="str">
        <v>2026-02</v>
      </c>
      <c r="I73">
        <f>SUMIFS(clean_purchase_orders[PO_Amount],  clean_purchase_orders[PO_Month], $H73)</f>
        <v>915804</v>
      </c>
      <c r="J73">
        <f>SUMIFS(clean_invoices[Final_Amount],
       clean_invoices[Inv_Month], $H73)</f>
        <v>980107.32</v>
      </c>
    </row>
    <row r="74" spans="4:10" x14ac:dyDescent="0.3">
      <c r="H74" t="str">
        <v>2026-01</v>
      </c>
      <c r="I74">
        <f>SUMIFS(clean_purchase_orders[PO_Amount],  clean_purchase_orders[PO_Month], $H74)</f>
        <v>1743132</v>
      </c>
      <c r="J74">
        <f>SUMIFS(clean_invoices[Final_Amount],
       clean_invoices[Inv_Month], $H74)</f>
        <v>1895543.0799999998</v>
      </c>
    </row>
    <row r="75" spans="4:10" x14ac:dyDescent="0.3">
      <c r="H75" t="str">
        <v>2026-01</v>
      </c>
      <c r="I75">
        <f>SUMIFS(clean_purchase_orders[PO_Amount],  clean_purchase_orders[PO_Month], $H75)</f>
        <v>1743132</v>
      </c>
      <c r="J75">
        <f>SUMIFS(clean_invoices[Final_Amount],
       clean_invoices[Inv_Month], $H75)</f>
        <v>1895543.0799999998</v>
      </c>
    </row>
    <row r="76" spans="4:10" x14ac:dyDescent="0.3">
      <c r="H76" t="str">
        <v>2026-05</v>
      </c>
      <c r="I76">
        <f>SUMIFS(clean_purchase_orders[PO_Amount],  clean_purchase_orders[PO_Month], $H76)</f>
        <v>1541075</v>
      </c>
      <c r="J76">
        <f>SUMIFS(clean_invoices[Final_Amount],
       clean_invoices[Inv_Month], $H76)</f>
        <v>1653271.08</v>
      </c>
    </row>
    <row r="77" spans="4:10" x14ac:dyDescent="0.3">
      <c r="H77" t="str">
        <v>2026-02</v>
      </c>
      <c r="I77">
        <f>SUMIFS(clean_purchase_orders[PO_Amount],  clean_purchase_orders[PO_Month], $H77)</f>
        <v>915804</v>
      </c>
      <c r="J77">
        <f>SUMIFS(clean_invoices[Final_Amount],
       clean_invoices[Inv_Month], $H77)</f>
        <v>980107.32</v>
      </c>
    </row>
    <row r="78" spans="4:10" x14ac:dyDescent="0.3">
      <c r="H78" t="str">
        <v>2026-04</v>
      </c>
      <c r="I78">
        <f>SUMIFS(clean_purchase_orders[PO_Amount],  clean_purchase_orders[PO_Month], $H78)</f>
        <v>864086</v>
      </c>
      <c r="J78">
        <f>SUMIFS(clean_invoices[Final_Amount],
       clean_invoices[Inv_Month], $H78)</f>
        <v>938369.04</v>
      </c>
    </row>
    <row r="79" spans="4:10" x14ac:dyDescent="0.3">
      <c r="H79" t="str">
        <v>2025-11</v>
      </c>
      <c r="I79">
        <f>SUMIFS(clean_purchase_orders[PO_Amount],  clean_purchase_orders[PO_Month], $H79)</f>
        <v>1073550</v>
      </c>
      <c r="J79">
        <f>SUMIFS(clean_invoices[Final_Amount],
       clean_invoices[Inv_Month], $H79)</f>
        <v>1086456.5199999998</v>
      </c>
    </row>
    <row r="80" spans="4:10" x14ac:dyDescent="0.3">
      <c r="H80" t="str">
        <v>2026-01</v>
      </c>
      <c r="I80">
        <f>SUMIFS(clean_purchase_orders[PO_Amount],  clean_purchase_orders[PO_Month], $H80)</f>
        <v>1743132</v>
      </c>
      <c r="J80">
        <f>SUMIFS(clean_invoices[Final_Amount],
       clean_invoices[Inv_Month], $H80)</f>
        <v>1895543.0799999998</v>
      </c>
    </row>
    <row r="81" spans="8:10" x14ac:dyDescent="0.3">
      <c r="H81" t="str">
        <v>2025-10</v>
      </c>
      <c r="I81">
        <f>SUMIFS(clean_purchase_orders[PO_Amount],  clean_purchase_orders[PO_Month], $H81)</f>
        <v>945460</v>
      </c>
      <c r="J81">
        <f>SUMIFS(clean_invoices[Final_Amount],
       clean_invoices[Inv_Month], $H81)</f>
        <v>1044033.1200000001</v>
      </c>
    </row>
    <row r="82" spans="8:10" x14ac:dyDescent="0.3">
      <c r="H82" t="str">
        <v>2026-07</v>
      </c>
      <c r="I82">
        <f>SUMIFS(clean_purchase_orders[PO_Amount],  clean_purchase_orders[PO_Month], $H82)</f>
        <v>17550</v>
      </c>
      <c r="J82">
        <f>SUMIFS(clean_invoices[Final_Amount],
       clean_invoices[Inv_Month], $H82)</f>
        <v>18854</v>
      </c>
    </row>
    <row r="83" spans="8:10" x14ac:dyDescent="0.3">
      <c r="H83" t="str">
        <v>2026-01</v>
      </c>
      <c r="I83">
        <f>SUMIFS(clean_purchase_orders[PO_Amount],  clean_purchase_orders[PO_Month], $H83)</f>
        <v>1743132</v>
      </c>
      <c r="J83">
        <f>SUMIFS(clean_invoices[Final_Amount],
       clean_invoices[Inv_Month], $H83)</f>
        <v>1895543.0799999998</v>
      </c>
    </row>
    <row r="84" spans="8:10" x14ac:dyDescent="0.3">
      <c r="H84" t="str">
        <v>2025-08</v>
      </c>
      <c r="I84">
        <f>SUMIFS(clean_purchase_orders[PO_Amount],  clean_purchase_orders[PO_Month], $H84)</f>
        <v>708923</v>
      </c>
      <c r="J84">
        <f>SUMIFS(clean_invoices[Final_Amount],
       clean_invoices[Inv_Month], $H84)</f>
        <v>634312.72</v>
      </c>
    </row>
    <row r="85" spans="8:10" x14ac:dyDescent="0.3">
      <c r="H85" t="str">
        <v>2025-12</v>
      </c>
      <c r="I85">
        <f>SUMIFS(clean_purchase_orders[PO_Amount],  clean_purchase_orders[PO_Month], $H85)</f>
        <v>494296</v>
      </c>
      <c r="J85">
        <f>SUMIFS(clean_invoices[Final_Amount],
       clean_invoices[Inv_Month], $H85)</f>
        <v>657403.99999999977</v>
      </c>
    </row>
    <row r="86" spans="8:10" x14ac:dyDescent="0.3">
      <c r="H86" t="str">
        <v>2025-08</v>
      </c>
      <c r="I86">
        <f>SUMIFS(clean_purchase_orders[PO_Amount],  clean_purchase_orders[PO_Month], $H86)</f>
        <v>708923</v>
      </c>
      <c r="J86">
        <f>SUMIFS(clean_invoices[Final_Amount],
       clean_invoices[Inv_Month], $H86)</f>
        <v>634312.72</v>
      </c>
    </row>
    <row r="87" spans="8:10" x14ac:dyDescent="0.3">
      <c r="H87" t="str">
        <v>2025-09</v>
      </c>
      <c r="I87">
        <f>SUMIFS(clean_purchase_orders[PO_Amount],  clean_purchase_orders[PO_Month], $H87)</f>
        <v>1210333</v>
      </c>
      <c r="J87">
        <f>SUMIFS(clean_invoices[Final_Amount],
       clean_invoices[Inv_Month], $H87)</f>
        <v>1436405.7999999998</v>
      </c>
    </row>
    <row r="88" spans="8:10" x14ac:dyDescent="0.3">
      <c r="H88" t="str">
        <v>2026-04</v>
      </c>
      <c r="I88">
        <f>SUMIFS(clean_purchase_orders[PO_Amount],  clean_purchase_orders[PO_Month], $H88)</f>
        <v>864086</v>
      </c>
      <c r="J88">
        <f>SUMIFS(clean_invoices[Final_Amount],
       clean_invoices[Inv_Month], $H88)</f>
        <v>938369.04</v>
      </c>
    </row>
    <row r="89" spans="8:10" x14ac:dyDescent="0.3">
      <c r="H89" t="str">
        <v>2026-06</v>
      </c>
      <c r="I89">
        <f>SUMIFS(clean_purchase_orders[PO_Amount],  clean_purchase_orders[PO_Month], $H89)</f>
        <v>971692</v>
      </c>
      <c r="J89">
        <f>SUMIFS(clean_invoices[Final_Amount],
       clean_invoices[Inv_Month], $H89)</f>
        <v>1250323.24</v>
      </c>
    </row>
    <row r="90" spans="8:10" x14ac:dyDescent="0.3">
      <c r="H90" t="str">
        <v>2026-06</v>
      </c>
      <c r="I90">
        <f>SUMIFS(clean_purchase_orders[PO_Amount],  clean_purchase_orders[PO_Month], $H90)</f>
        <v>971692</v>
      </c>
      <c r="J90">
        <f>SUMIFS(clean_invoices[Final_Amount],
       clean_invoices[Inv_Month], $H90)</f>
        <v>1250323.24</v>
      </c>
    </row>
    <row r="91" spans="8:10" x14ac:dyDescent="0.3">
      <c r="H91" t="str">
        <v>2025-09</v>
      </c>
      <c r="I91">
        <f>SUMIFS(clean_purchase_orders[PO_Amount],  clean_purchase_orders[PO_Month], $H91)</f>
        <v>1210333</v>
      </c>
      <c r="J91">
        <f>SUMIFS(clean_invoices[Final_Amount],
       clean_invoices[Inv_Month], $H91)</f>
        <v>1436405.7999999998</v>
      </c>
    </row>
    <row r="92" spans="8:10" x14ac:dyDescent="0.3">
      <c r="H92" t="str">
        <v>2025-10</v>
      </c>
      <c r="I92">
        <f>SUMIFS(clean_purchase_orders[PO_Amount],  clean_purchase_orders[PO_Month], $H92)</f>
        <v>945460</v>
      </c>
      <c r="J92">
        <f>SUMIFS(clean_invoices[Final_Amount],
       clean_invoices[Inv_Month], $H92)</f>
        <v>1044033.1200000001</v>
      </c>
    </row>
    <row r="93" spans="8:10" x14ac:dyDescent="0.3">
      <c r="H93" t="str">
        <v>2025-11</v>
      </c>
      <c r="I93">
        <f>SUMIFS(clean_purchase_orders[PO_Amount],  clean_purchase_orders[PO_Month], $H93)</f>
        <v>1073550</v>
      </c>
      <c r="J93">
        <f>SUMIFS(clean_invoices[Final_Amount],
       clean_invoices[Inv_Month], $H93)</f>
        <v>1086456.5199999998</v>
      </c>
    </row>
    <row r="94" spans="8:10" x14ac:dyDescent="0.3">
      <c r="H94" t="str">
        <v>2026-02</v>
      </c>
      <c r="I94">
        <f>SUMIFS(clean_purchase_orders[PO_Amount],  clean_purchase_orders[PO_Month], $H94)</f>
        <v>915804</v>
      </c>
      <c r="J94">
        <f>SUMIFS(clean_invoices[Final_Amount],
       clean_invoices[Inv_Month], $H94)</f>
        <v>980107.32</v>
      </c>
    </row>
    <row r="95" spans="8:10" x14ac:dyDescent="0.3">
      <c r="H95" t="str">
        <v>2025-11</v>
      </c>
      <c r="I95">
        <f>SUMIFS(clean_purchase_orders[PO_Amount],  clean_purchase_orders[PO_Month], $H95)</f>
        <v>1073550</v>
      </c>
      <c r="J95">
        <f>SUMIFS(clean_invoices[Final_Amount],
       clean_invoices[Inv_Month], $H95)</f>
        <v>1086456.5199999998</v>
      </c>
    </row>
    <row r="96" spans="8:10" x14ac:dyDescent="0.3">
      <c r="H96" t="str">
        <v>2025-07</v>
      </c>
      <c r="I96">
        <f>SUMIFS(clean_purchase_orders[PO_Amount],  clean_purchase_orders[PO_Month], $H96)</f>
        <v>1127808</v>
      </c>
      <c r="J96">
        <f>SUMIFS(clean_invoices[Final_Amount],
       clean_invoices[Inv_Month], $H96)</f>
        <v>1121722.9200000002</v>
      </c>
    </row>
    <row r="97" spans="8:10" x14ac:dyDescent="0.3">
      <c r="H97" t="str">
        <v>2026-05</v>
      </c>
      <c r="I97">
        <f>SUMIFS(clean_purchase_orders[PO_Amount],  clean_purchase_orders[PO_Month], $H97)</f>
        <v>1541075</v>
      </c>
      <c r="J97">
        <f>SUMIFS(clean_invoices[Final_Amount],
       clean_invoices[Inv_Month], $H97)</f>
        <v>1653271.08</v>
      </c>
    </row>
    <row r="98" spans="8:10" x14ac:dyDescent="0.3">
      <c r="H98" t="str">
        <v>2026-05</v>
      </c>
      <c r="I98">
        <f>SUMIFS(clean_purchase_orders[PO_Amount],  clean_purchase_orders[PO_Month], $H98)</f>
        <v>1541075</v>
      </c>
      <c r="J98">
        <f>SUMIFS(clean_invoices[Final_Amount],
       clean_invoices[Inv_Month], $H98)</f>
        <v>1653271.08</v>
      </c>
    </row>
    <row r="99" spans="8:10" x14ac:dyDescent="0.3">
      <c r="H99" t="str">
        <v>2026-05</v>
      </c>
      <c r="I99">
        <f>SUMIFS(clean_purchase_orders[PO_Amount],  clean_purchase_orders[PO_Month], $H99)</f>
        <v>1541075</v>
      </c>
      <c r="J99">
        <f>SUMIFS(clean_invoices[Final_Amount],
       clean_invoices[Inv_Month], $H99)</f>
        <v>1653271.08</v>
      </c>
    </row>
    <row r="100" spans="8:10" x14ac:dyDescent="0.3">
      <c r="H100" t="str">
        <v>2026-01</v>
      </c>
      <c r="I100">
        <f>SUMIFS(clean_purchase_orders[PO_Amount],  clean_purchase_orders[PO_Month], $H100)</f>
        <v>1743132</v>
      </c>
      <c r="J100">
        <f>SUMIFS(clean_invoices[Final_Amount],
       clean_invoices[Inv_Month], $H100)</f>
        <v>1895543.0799999998</v>
      </c>
    </row>
    <row r="101" spans="8:10" x14ac:dyDescent="0.3">
      <c r="H101" t="str">
        <v>2025-07</v>
      </c>
      <c r="I101">
        <f>SUMIFS(clean_purchase_orders[PO_Amount],  clean_purchase_orders[PO_Month], $H101)</f>
        <v>1127808</v>
      </c>
      <c r="J101">
        <f>SUMIFS(clean_invoices[Final_Amount],
       clean_invoices[Inv_Month], $H101)</f>
        <v>1121722.9200000002</v>
      </c>
    </row>
    <row r="102" spans="8:10" x14ac:dyDescent="0.3">
      <c r="H102" t="str">
        <v>2025-09</v>
      </c>
      <c r="I102">
        <f>SUMIFS(clean_purchase_orders[PO_Amount],  clean_purchase_orders[PO_Month], $H102)</f>
        <v>1210333</v>
      </c>
      <c r="J102">
        <f>SUMIFS(clean_invoices[Final_Amount],
       clean_invoices[Inv_Month], $H102)</f>
        <v>1436405.7999999998</v>
      </c>
    </row>
    <row r="103" spans="8:10" x14ac:dyDescent="0.3">
      <c r="H103" t="str">
        <v>2025-07</v>
      </c>
      <c r="I103">
        <f>SUMIFS(clean_purchase_orders[PO_Amount],  clean_purchase_orders[PO_Month], $H103)</f>
        <v>1127808</v>
      </c>
      <c r="J103">
        <f>SUMIFS(clean_invoices[Final_Amount],
       clean_invoices[Inv_Month], $H103)</f>
        <v>1121722.9200000002</v>
      </c>
    </row>
    <row r="104" spans="8:10" x14ac:dyDescent="0.3">
      <c r="H104" t="str">
        <v>2025-12</v>
      </c>
      <c r="I104">
        <f>SUMIFS(clean_purchase_orders[PO_Amount],  clean_purchase_orders[PO_Month], $H104)</f>
        <v>494296</v>
      </c>
      <c r="J104">
        <f>SUMIFS(clean_invoices[Final_Amount],
       clean_invoices[Inv_Month], $H104)</f>
        <v>657403.99999999977</v>
      </c>
    </row>
    <row r="105" spans="8:10" x14ac:dyDescent="0.3">
      <c r="H105" t="str">
        <v>2026-06</v>
      </c>
      <c r="I105">
        <f>SUMIFS(clean_purchase_orders[PO_Amount],  clean_purchase_orders[PO_Month], $H105)</f>
        <v>971692</v>
      </c>
      <c r="J105">
        <f>SUMIFS(clean_invoices[Final_Amount],
       clean_invoices[Inv_Month], $H105)</f>
        <v>1250323.24</v>
      </c>
    </row>
    <row r="106" spans="8:10" x14ac:dyDescent="0.3">
      <c r="H106" t="str">
        <v>2025-11</v>
      </c>
      <c r="I106">
        <f>SUMIFS(clean_purchase_orders[PO_Amount],  clean_purchase_orders[PO_Month], $H106)</f>
        <v>1073550</v>
      </c>
      <c r="J106">
        <f>SUMIFS(clean_invoices[Final_Amount],
       clean_invoices[Inv_Month], $H106)</f>
        <v>1086456.5199999998</v>
      </c>
    </row>
    <row r="107" spans="8:10" x14ac:dyDescent="0.3">
      <c r="H107" t="str">
        <v>2026-03</v>
      </c>
      <c r="I107">
        <f>SUMIFS(clean_purchase_orders[PO_Amount],  clean_purchase_orders[PO_Month], $H107)</f>
        <v>792360</v>
      </c>
      <c r="J107">
        <f>SUMIFS(clean_invoices[Final_Amount],
       clean_invoices[Inv_Month], $H107)</f>
        <v>662515.67999999993</v>
      </c>
    </row>
    <row r="108" spans="8:10" x14ac:dyDescent="0.3">
      <c r="H108" t="str">
        <v>2026-06</v>
      </c>
      <c r="I108">
        <f>SUMIFS(clean_purchase_orders[PO_Amount],  clean_purchase_orders[PO_Month], $H108)</f>
        <v>971692</v>
      </c>
      <c r="J108">
        <f>SUMIFS(clean_invoices[Final_Amount],
       clean_invoices[Inv_Month], $H108)</f>
        <v>1250323.24</v>
      </c>
    </row>
    <row r="109" spans="8:10" x14ac:dyDescent="0.3">
      <c r="H109" t="str">
        <v>2026-06</v>
      </c>
      <c r="I109">
        <f>SUMIFS(clean_purchase_orders[PO_Amount],  clean_purchase_orders[PO_Month], $H109)</f>
        <v>971692</v>
      </c>
      <c r="J109">
        <f>SUMIFS(clean_invoices[Final_Amount],
       clean_invoices[Inv_Month], $H109)</f>
        <v>1250323.24</v>
      </c>
    </row>
    <row r="110" spans="8:10" x14ac:dyDescent="0.3">
      <c r="H110" t="str">
        <v>2026-04</v>
      </c>
      <c r="I110">
        <f>SUMIFS(clean_purchase_orders[PO_Amount],  clean_purchase_orders[PO_Month], $H110)</f>
        <v>864086</v>
      </c>
      <c r="J110">
        <f>SUMIFS(clean_invoices[Final_Amount],
       clean_invoices[Inv_Month], $H110)</f>
        <v>938369.04</v>
      </c>
    </row>
    <row r="111" spans="8:10" x14ac:dyDescent="0.3">
      <c r="H111" t="str">
        <v>2025-09</v>
      </c>
      <c r="I111">
        <f>SUMIFS(clean_purchase_orders[PO_Amount],  clean_purchase_orders[PO_Month], $H111)</f>
        <v>1210333</v>
      </c>
      <c r="J111">
        <f>SUMIFS(clean_invoices[Final_Amount],
       clean_invoices[Inv_Month], $H111)</f>
        <v>1436405.7999999998</v>
      </c>
    </row>
    <row r="112" spans="8:10" x14ac:dyDescent="0.3">
      <c r="H112" t="str">
        <v>2026-03</v>
      </c>
      <c r="I112">
        <f>SUMIFS(clean_purchase_orders[PO_Amount],  clean_purchase_orders[PO_Month], $H112)</f>
        <v>792360</v>
      </c>
      <c r="J112">
        <f>SUMIFS(clean_invoices[Final_Amount],
       clean_invoices[Inv_Month], $H112)</f>
        <v>662515.67999999993</v>
      </c>
    </row>
    <row r="113" spans="8:10" x14ac:dyDescent="0.3">
      <c r="H113" t="str">
        <v>2025-11</v>
      </c>
      <c r="I113">
        <f>SUMIFS(clean_purchase_orders[PO_Amount],  clean_purchase_orders[PO_Month], $H113)</f>
        <v>1073550</v>
      </c>
      <c r="J113">
        <f>SUMIFS(clean_invoices[Final_Amount],
       clean_invoices[Inv_Month], $H113)</f>
        <v>1086456.5199999998</v>
      </c>
    </row>
    <row r="114" spans="8:10" x14ac:dyDescent="0.3">
      <c r="H114" t="str">
        <v>2025-08</v>
      </c>
      <c r="I114">
        <f>SUMIFS(clean_purchase_orders[PO_Amount],  clean_purchase_orders[PO_Month], $H114)</f>
        <v>708923</v>
      </c>
      <c r="J114">
        <f>SUMIFS(clean_invoices[Final_Amount],
       clean_invoices[Inv_Month], $H114)</f>
        <v>634312.72</v>
      </c>
    </row>
    <row r="115" spans="8:10" x14ac:dyDescent="0.3">
      <c r="H115" t="str">
        <v>2026-01</v>
      </c>
      <c r="I115">
        <f>SUMIFS(clean_purchase_orders[PO_Amount],  clean_purchase_orders[PO_Month], $H115)</f>
        <v>1743132</v>
      </c>
      <c r="J115">
        <f>SUMIFS(clean_invoices[Final_Amount],
       clean_invoices[Inv_Month], $H115)</f>
        <v>1895543.0799999998</v>
      </c>
    </row>
    <row r="116" spans="8:10" x14ac:dyDescent="0.3">
      <c r="H116" t="str">
        <v>2026-05</v>
      </c>
      <c r="I116">
        <f>SUMIFS(clean_purchase_orders[PO_Amount],  clean_purchase_orders[PO_Month], $H116)</f>
        <v>1541075</v>
      </c>
      <c r="J116">
        <f>SUMIFS(clean_invoices[Final_Amount],
       clean_invoices[Inv_Month], $H116)</f>
        <v>1653271.08</v>
      </c>
    </row>
    <row r="117" spans="8:10" x14ac:dyDescent="0.3">
      <c r="H117" t="str">
        <v>2026-05</v>
      </c>
      <c r="I117">
        <f>SUMIFS(clean_purchase_orders[PO_Amount],  clean_purchase_orders[PO_Month], $H117)</f>
        <v>1541075</v>
      </c>
      <c r="J117">
        <f>SUMIFS(clean_invoices[Final_Amount],
       clean_invoices[Inv_Month], $H117)</f>
        <v>1653271.08</v>
      </c>
    </row>
    <row r="118" spans="8:10" x14ac:dyDescent="0.3">
      <c r="H118" t="str">
        <v>2026-04</v>
      </c>
      <c r="I118">
        <f>SUMIFS(clean_purchase_orders[PO_Amount],  clean_purchase_orders[PO_Month], $H118)</f>
        <v>864086</v>
      </c>
      <c r="J118">
        <f>SUMIFS(clean_invoices[Final_Amount],
       clean_invoices[Inv_Month], $H118)</f>
        <v>938369.04</v>
      </c>
    </row>
    <row r="119" spans="8:10" x14ac:dyDescent="0.3">
      <c r="H119" t="str">
        <v>2026-02</v>
      </c>
      <c r="I119">
        <f>SUMIFS(clean_purchase_orders[PO_Amount],  clean_purchase_orders[PO_Month], $H119)</f>
        <v>915804</v>
      </c>
      <c r="J119">
        <f>SUMIFS(clean_invoices[Final_Amount],
       clean_invoices[Inv_Month], $H119)</f>
        <v>980107.32</v>
      </c>
    </row>
    <row r="120" spans="8:10" x14ac:dyDescent="0.3">
      <c r="H120" t="str">
        <v>2026-06</v>
      </c>
      <c r="I120">
        <f>SUMIFS(clean_purchase_orders[PO_Amount],  clean_purchase_orders[PO_Month], $H120)</f>
        <v>971692</v>
      </c>
      <c r="J120">
        <f>SUMIFS(clean_invoices[Final_Amount],
       clean_invoices[Inv_Month], $H120)</f>
        <v>1250323.24</v>
      </c>
    </row>
    <row r="121" spans="8:10" x14ac:dyDescent="0.3">
      <c r="H121" t="str">
        <v>2026-02</v>
      </c>
      <c r="I121">
        <f>SUMIFS(clean_purchase_orders[PO_Amount],  clean_purchase_orders[PO_Month], $H121)</f>
        <v>915804</v>
      </c>
      <c r="J121">
        <f>SUMIFS(clean_invoices[Final_Amount],
       clean_invoices[Inv_Month], $H121)</f>
        <v>980107.32</v>
      </c>
    </row>
    <row r="122" spans="8:10" x14ac:dyDescent="0.3">
      <c r="H122" t="str">
        <v>2025-09</v>
      </c>
      <c r="I122">
        <f>SUMIFS(clean_purchase_orders[PO_Amount],  clean_purchase_orders[PO_Month], $H122)</f>
        <v>1210333</v>
      </c>
      <c r="J122">
        <f>SUMIFS(clean_invoices[Final_Amount],
       clean_invoices[Inv_Month], $H122)</f>
        <v>1436405.7999999998</v>
      </c>
    </row>
    <row r="123" spans="8:10" x14ac:dyDescent="0.3">
      <c r="H123" t="str">
        <v>2026-02</v>
      </c>
      <c r="I123">
        <f>SUMIFS(clean_purchase_orders[PO_Amount],  clean_purchase_orders[PO_Month], $H123)</f>
        <v>915804</v>
      </c>
      <c r="J123">
        <f>SUMIFS(clean_invoices[Final_Amount],
       clean_invoices[Inv_Month], $H123)</f>
        <v>980107.32</v>
      </c>
    </row>
    <row r="124" spans="8:10" x14ac:dyDescent="0.3">
      <c r="H124" t="str">
        <v>2025-12</v>
      </c>
      <c r="I124">
        <f>SUMIFS(clean_purchase_orders[PO_Amount],  clean_purchase_orders[PO_Month], $H124)</f>
        <v>494296</v>
      </c>
      <c r="J124">
        <f>SUMIFS(clean_invoices[Final_Amount],
       clean_invoices[Inv_Month], $H124)</f>
        <v>657403.99999999977</v>
      </c>
    </row>
    <row r="125" spans="8:10" x14ac:dyDescent="0.3">
      <c r="H125" t="str">
        <v>2025-07</v>
      </c>
      <c r="I125">
        <f>SUMIFS(clean_purchase_orders[PO_Amount],  clean_purchase_orders[PO_Month], $H125)</f>
        <v>1127808</v>
      </c>
      <c r="J125">
        <f>SUMIFS(clean_invoices[Final_Amount],
       clean_invoices[Inv_Month], $H125)</f>
        <v>1121722.9200000002</v>
      </c>
    </row>
    <row r="126" spans="8:10" x14ac:dyDescent="0.3">
      <c r="H126" t="str">
        <v>2026-04</v>
      </c>
      <c r="I126">
        <f>SUMIFS(clean_purchase_orders[PO_Amount],  clean_purchase_orders[PO_Month], $H126)</f>
        <v>864086</v>
      </c>
      <c r="J126">
        <f>SUMIFS(clean_invoices[Final_Amount],
       clean_invoices[Inv_Month], $H126)</f>
        <v>938369.04</v>
      </c>
    </row>
    <row r="127" spans="8:10" x14ac:dyDescent="0.3">
      <c r="H127" t="str">
        <v>2026-01</v>
      </c>
      <c r="I127">
        <f>SUMIFS(clean_purchase_orders[PO_Amount],  clean_purchase_orders[PO_Month], $H127)</f>
        <v>1743132</v>
      </c>
      <c r="J127">
        <f>SUMIFS(clean_invoices[Final_Amount],
       clean_invoices[Inv_Month], $H127)</f>
        <v>1895543.0799999998</v>
      </c>
    </row>
    <row r="128" spans="8:10" x14ac:dyDescent="0.3">
      <c r="H128" t="str">
        <v>2025-12</v>
      </c>
      <c r="I128">
        <f>SUMIFS(clean_purchase_orders[PO_Amount],  clean_purchase_orders[PO_Month], $H128)</f>
        <v>494296</v>
      </c>
      <c r="J128">
        <f>SUMIFS(clean_invoices[Final_Amount],
       clean_invoices[Inv_Month], $H128)</f>
        <v>657403.99999999977</v>
      </c>
    </row>
    <row r="129" spans="8:10" x14ac:dyDescent="0.3">
      <c r="H129" t="str">
        <v>2026-01</v>
      </c>
      <c r="I129">
        <f>SUMIFS(clean_purchase_orders[PO_Amount],  clean_purchase_orders[PO_Month], $H129)</f>
        <v>1743132</v>
      </c>
      <c r="J129">
        <f>SUMIFS(clean_invoices[Final_Amount],
       clean_invoices[Inv_Month], $H129)</f>
        <v>1895543.0799999998</v>
      </c>
    </row>
    <row r="130" spans="8:10" x14ac:dyDescent="0.3">
      <c r="H130" t="str">
        <v>2025-09</v>
      </c>
      <c r="I130">
        <f>SUMIFS(clean_purchase_orders[PO_Amount],  clean_purchase_orders[PO_Month], $H130)</f>
        <v>1210333</v>
      </c>
      <c r="J130">
        <f>SUMIFS(clean_invoices[Final_Amount],
       clean_invoices[Inv_Month], $H130)</f>
        <v>1436405.7999999998</v>
      </c>
    </row>
    <row r="131" spans="8:10" x14ac:dyDescent="0.3">
      <c r="H131" t="str">
        <v>2026-06</v>
      </c>
      <c r="I131">
        <f>SUMIFS(clean_purchase_orders[PO_Amount],  clean_purchase_orders[PO_Month], $H131)</f>
        <v>971692</v>
      </c>
      <c r="J131">
        <f>SUMIFS(clean_invoices[Final_Amount],
       clean_invoices[Inv_Month], $H131)</f>
        <v>1250323.24</v>
      </c>
    </row>
    <row r="132" spans="8:10" x14ac:dyDescent="0.3">
      <c r="H132" t="str">
        <v>2026-06</v>
      </c>
      <c r="I132">
        <f>SUMIFS(clean_purchase_orders[PO_Amount],  clean_purchase_orders[PO_Month], $H132)</f>
        <v>971692</v>
      </c>
      <c r="J132">
        <f>SUMIFS(clean_invoices[Final_Amount],
       clean_invoices[Inv_Month], $H132)</f>
        <v>1250323.24</v>
      </c>
    </row>
    <row r="133" spans="8:10" x14ac:dyDescent="0.3">
      <c r="H133" t="str">
        <v>2025-08</v>
      </c>
      <c r="I133">
        <f>SUMIFS(clean_purchase_orders[PO_Amount],  clean_purchase_orders[PO_Month], $H133)</f>
        <v>708923</v>
      </c>
      <c r="J133">
        <f>SUMIFS(clean_invoices[Final_Amount],
       clean_invoices[Inv_Month], $H133)</f>
        <v>634312.72</v>
      </c>
    </row>
    <row r="134" spans="8:10" x14ac:dyDescent="0.3">
      <c r="H134" t="str">
        <v>2026-04</v>
      </c>
      <c r="I134">
        <f>SUMIFS(clean_purchase_orders[PO_Amount],  clean_purchase_orders[PO_Month], $H134)</f>
        <v>864086</v>
      </c>
      <c r="J134">
        <f>SUMIFS(clean_invoices[Final_Amount],
       clean_invoices[Inv_Month], $H134)</f>
        <v>938369.04</v>
      </c>
    </row>
    <row r="135" spans="8:10" x14ac:dyDescent="0.3">
      <c r="H135" t="str">
        <v>2026-05</v>
      </c>
      <c r="I135">
        <f>SUMIFS(clean_purchase_orders[PO_Amount],  clean_purchase_orders[PO_Month], $H135)</f>
        <v>1541075</v>
      </c>
      <c r="J135">
        <f>SUMIFS(clean_invoices[Final_Amount],
       clean_invoices[Inv_Month], $H135)</f>
        <v>1653271.08</v>
      </c>
    </row>
    <row r="136" spans="8:10" x14ac:dyDescent="0.3">
      <c r="H136" t="str">
        <v>2026-06</v>
      </c>
      <c r="I136">
        <f>SUMIFS(clean_purchase_orders[PO_Amount],  clean_purchase_orders[PO_Month], $H136)</f>
        <v>971692</v>
      </c>
      <c r="J136">
        <f>SUMIFS(clean_invoices[Final_Amount],
       clean_invoices[Inv_Month], $H136)</f>
        <v>1250323.24</v>
      </c>
    </row>
    <row r="137" spans="8:10" x14ac:dyDescent="0.3">
      <c r="H137" t="str">
        <v>2025-09</v>
      </c>
      <c r="I137">
        <f>SUMIFS(clean_purchase_orders[PO_Amount],  clean_purchase_orders[PO_Month], $H137)</f>
        <v>1210333</v>
      </c>
      <c r="J137">
        <f>SUMIFS(clean_invoices[Final_Amount],
       clean_invoices[Inv_Month], $H137)</f>
        <v>1436405.7999999998</v>
      </c>
    </row>
    <row r="138" spans="8:10" x14ac:dyDescent="0.3">
      <c r="H138" t="str">
        <v>2026-05</v>
      </c>
      <c r="I138">
        <f>SUMIFS(clean_purchase_orders[PO_Amount],  clean_purchase_orders[PO_Month], $H138)</f>
        <v>1541075</v>
      </c>
      <c r="J138">
        <f>SUMIFS(clean_invoices[Final_Amount],
       clean_invoices[Inv_Month], $H138)</f>
        <v>1653271.08</v>
      </c>
    </row>
    <row r="139" spans="8:10" x14ac:dyDescent="0.3">
      <c r="H139" t="str">
        <v>2025-07</v>
      </c>
      <c r="I139">
        <f>SUMIFS(clean_purchase_orders[PO_Amount],  clean_purchase_orders[PO_Month], $H139)</f>
        <v>1127808</v>
      </c>
      <c r="J139">
        <f>SUMIFS(clean_invoices[Final_Amount],
       clean_invoices[Inv_Month], $H139)</f>
        <v>1121722.9200000002</v>
      </c>
    </row>
    <row r="140" spans="8:10" x14ac:dyDescent="0.3">
      <c r="H140" t="str">
        <v>2026-02</v>
      </c>
      <c r="I140">
        <f>SUMIFS(clean_purchase_orders[PO_Amount],  clean_purchase_orders[PO_Month], $H140)</f>
        <v>915804</v>
      </c>
      <c r="J140">
        <f>SUMIFS(clean_invoices[Final_Amount],
       clean_invoices[Inv_Month], $H140)</f>
        <v>980107.32</v>
      </c>
    </row>
    <row r="141" spans="8:10" x14ac:dyDescent="0.3">
      <c r="H141" t="str">
        <v>2025-11</v>
      </c>
      <c r="I141">
        <f>SUMIFS(clean_purchase_orders[PO_Amount],  clean_purchase_orders[PO_Month], $H141)</f>
        <v>1073550</v>
      </c>
      <c r="J141">
        <f>SUMIFS(clean_invoices[Final_Amount],
       clean_invoices[Inv_Month], $H141)</f>
        <v>1086456.5199999998</v>
      </c>
    </row>
    <row r="142" spans="8:10" x14ac:dyDescent="0.3">
      <c r="H142" t="str">
        <v>2026-06</v>
      </c>
      <c r="I142">
        <f>SUMIFS(clean_purchase_orders[PO_Amount],  clean_purchase_orders[PO_Month], $H142)</f>
        <v>971692</v>
      </c>
      <c r="J142">
        <f>SUMIFS(clean_invoices[Final_Amount],
       clean_invoices[Inv_Month], $H142)</f>
        <v>1250323.24</v>
      </c>
    </row>
    <row r="143" spans="8:10" x14ac:dyDescent="0.3">
      <c r="H143" t="str">
        <v>2025-09</v>
      </c>
      <c r="I143">
        <f>SUMIFS(clean_purchase_orders[PO_Amount],  clean_purchase_orders[PO_Month], $H143)</f>
        <v>1210333</v>
      </c>
      <c r="J143">
        <f>SUMIFS(clean_invoices[Final_Amount],
       clean_invoices[Inv_Month], $H143)</f>
        <v>1436405.7999999998</v>
      </c>
    </row>
    <row r="144" spans="8:10" x14ac:dyDescent="0.3">
      <c r="H144" t="str">
        <v>2026-01</v>
      </c>
      <c r="I144">
        <f>SUMIFS(clean_purchase_orders[PO_Amount],  clean_purchase_orders[PO_Month], $H144)</f>
        <v>1743132</v>
      </c>
      <c r="J144">
        <f>SUMIFS(clean_invoices[Final_Amount],
       clean_invoices[Inv_Month], $H144)</f>
        <v>1895543.0799999998</v>
      </c>
    </row>
    <row r="145" spans="8:10" x14ac:dyDescent="0.3">
      <c r="H145" t="str">
        <v>2026-02</v>
      </c>
      <c r="I145">
        <f>SUMIFS(clean_purchase_orders[PO_Amount],  clean_purchase_orders[PO_Month], $H145)</f>
        <v>915804</v>
      </c>
      <c r="J145">
        <f>SUMIFS(clean_invoices[Final_Amount],
       clean_invoices[Inv_Month], $H145)</f>
        <v>980107.32</v>
      </c>
    </row>
    <row r="146" spans="8:10" x14ac:dyDescent="0.3">
      <c r="H146" t="str">
        <v>2026-02</v>
      </c>
      <c r="I146">
        <f>SUMIFS(clean_purchase_orders[PO_Amount],  clean_purchase_orders[PO_Month], $H146)</f>
        <v>915804</v>
      </c>
      <c r="J146">
        <f>SUMIFS(clean_invoices[Final_Amount],
       clean_invoices[Inv_Month], $H146)</f>
        <v>980107.32</v>
      </c>
    </row>
    <row r="147" spans="8:10" x14ac:dyDescent="0.3">
      <c r="H147" t="str">
        <v>2025-07</v>
      </c>
      <c r="I147">
        <f>SUMIFS(clean_purchase_orders[PO_Amount],  clean_purchase_orders[PO_Month], $H147)</f>
        <v>1127808</v>
      </c>
      <c r="J147">
        <f>SUMIFS(clean_invoices[Final_Amount],
       clean_invoices[Inv_Month], $H147)</f>
        <v>1121722.9200000002</v>
      </c>
    </row>
    <row r="148" spans="8:10" x14ac:dyDescent="0.3">
      <c r="H148" t="str">
        <v>2025-07</v>
      </c>
      <c r="I148">
        <f>SUMIFS(clean_purchase_orders[PO_Amount],  clean_purchase_orders[PO_Month], $H148)</f>
        <v>1127808</v>
      </c>
      <c r="J148">
        <f>SUMIFS(clean_invoices[Final_Amount],
       clean_invoices[Inv_Month], $H148)</f>
        <v>1121722.9200000002</v>
      </c>
    </row>
    <row r="149" spans="8:10" x14ac:dyDescent="0.3">
      <c r="H149" t="str">
        <v>2026-04</v>
      </c>
      <c r="I149">
        <f>SUMIFS(clean_purchase_orders[PO_Amount],  clean_purchase_orders[PO_Month], $H149)</f>
        <v>864086</v>
      </c>
      <c r="J149">
        <f>SUMIFS(clean_invoices[Final_Amount],
       clean_invoices[Inv_Month], $H149)</f>
        <v>938369.04</v>
      </c>
    </row>
    <row r="150" spans="8:10" x14ac:dyDescent="0.3">
      <c r="H150" t="str">
        <v>2026-02</v>
      </c>
      <c r="I150">
        <f>SUMIFS(clean_purchase_orders[PO_Amount],  clean_purchase_orders[PO_Month], $H150)</f>
        <v>915804</v>
      </c>
      <c r="J150">
        <f>SUMIFS(clean_invoices[Final_Amount],
       clean_invoices[Inv_Month], $H150)</f>
        <v>980107.32</v>
      </c>
    </row>
    <row r="151" spans="8:10" x14ac:dyDescent="0.3">
      <c r="H151" t="str">
        <v>2025-07</v>
      </c>
      <c r="I151">
        <f>SUMIFS(clean_purchase_orders[PO_Amount],  clean_purchase_orders[PO_Month], $H151)</f>
        <v>1127808</v>
      </c>
      <c r="J151">
        <f>SUMIFS(clean_invoices[Final_Amount],
       clean_invoices[Inv_Month], $H151)</f>
        <v>1121722.9200000002</v>
      </c>
    </row>
    <row r="152" spans="8:10" x14ac:dyDescent="0.3">
      <c r="H152" t="str">
        <v>2026-05</v>
      </c>
      <c r="I152">
        <f>SUMIFS(clean_purchase_orders[PO_Amount],  clean_purchase_orders[PO_Month], $H152)</f>
        <v>1541075</v>
      </c>
      <c r="J152">
        <f>SUMIFS(clean_invoices[Final_Amount],
       clean_invoices[Inv_Month], $H152)</f>
        <v>1653271.08</v>
      </c>
    </row>
    <row r="153" spans="8:10" x14ac:dyDescent="0.3">
      <c r="H153" t="str">
        <v>2025-07</v>
      </c>
      <c r="I153">
        <f>SUMIFS(clean_purchase_orders[PO_Amount],  clean_purchase_orders[PO_Month], $H153)</f>
        <v>1127808</v>
      </c>
      <c r="J153">
        <f>SUMIFS(clean_invoices[Final_Amount],
       clean_invoices[Inv_Month], $H153)</f>
        <v>1121722.9200000002</v>
      </c>
    </row>
    <row r="154" spans="8:10" x14ac:dyDescent="0.3">
      <c r="H154" t="str">
        <v>2026-04</v>
      </c>
      <c r="I154">
        <f>SUMIFS(clean_purchase_orders[PO_Amount],  clean_purchase_orders[PO_Month], $H154)</f>
        <v>864086</v>
      </c>
      <c r="J154">
        <f>SUMIFS(clean_invoices[Final_Amount],
       clean_invoices[Inv_Month], $H154)</f>
        <v>938369.04</v>
      </c>
    </row>
    <row r="155" spans="8:10" x14ac:dyDescent="0.3">
      <c r="H155" t="str">
        <v>2025-10</v>
      </c>
      <c r="I155">
        <f>SUMIFS(clean_purchase_orders[PO_Amount],  clean_purchase_orders[PO_Month], $H155)</f>
        <v>945460</v>
      </c>
      <c r="J155">
        <f>SUMIFS(clean_invoices[Final_Amount],
       clean_invoices[Inv_Month], $H155)</f>
        <v>1044033.1200000001</v>
      </c>
    </row>
    <row r="156" spans="8:10" x14ac:dyDescent="0.3">
      <c r="H156" t="str">
        <v>2025-10</v>
      </c>
      <c r="I156">
        <f>SUMIFS(clean_purchase_orders[PO_Amount],  clean_purchase_orders[PO_Month], $H156)</f>
        <v>945460</v>
      </c>
      <c r="J156">
        <f>SUMIFS(clean_invoices[Final_Amount],
       clean_invoices[Inv_Month], $H156)</f>
        <v>1044033.1200000001</v>
      </c>
    </row>
    <row r="157" spans="8:10" x14ac:dyDescent="0.3">
      <c r="H157" t="str">
        <v>2025-08</v>
      </c>
      <c r="I157">
        <f>SUMIFS(clean_purchase_orders[PO_Amount],  clean_purchase_orders[PO_Month], $H157)</f>
        <v>708923</v>
      </c>
      <c r="J157">
        <f>SUMIFS(clean_invoices[Final_Amount],
       clean_invoices[Inv_Month], $H157)</f>
        <v>634312.72</v>
      </c>
    </row>
    <row r="158" spans="8:10" x14ac:dyDescent="0.3">
      <c r="H158" t="str">
        <v>2026-05</v>
      </c>
      <c r="I158">
        <f>SUMIFS(clean_purchase_orders[PO_Amount],  clean_purchase_orders[PO_Month], $H158)</f>
        <v>1541075</v>
      </c>
      <c r="J158">
        <f>SUMIFS(clean_invoices[Final_Amount],
       clean_invoices[Inv_Month], $H158)</f>
        <v>1653271.08</v>
      </c>
    </row>
    <row r="159" spans="8:10" x14ac:dyDescent="0.3">
      <c r="H159" t="str">
        <v>2026-04</v>
      </c>
      <c r="I159">
        <f>SUMIFS(clean_purchase_orders[PO_Amount],  clean_purchase_orders[PO_Month], $H159)</f>
        <v>864086</v>
      </c>
      <c r="J159">
        <f>SUMIFS(clean_invoices[Final_Amount],
       clean_invoices[Inv_Month], $H159)</f>
        <v>938369.04</v>
      </c>
    </row>
    <row r="160" spans="8:10" x14ac:dyDescent="0.3">
      <c r="H160" t="str">
        <v>2025-09</v>
      </c>
      <c r="I160">
        <f>SUMIFS(clean_purchase_orders[PO_Amount],  clean_purchase_orders[PO_Month], $H160)</f>
        <v>1210333</v>
      </c>
      <c r="J160">
        <f>SUMIFS(clean_invoices[Final_Amount],
       clean_invoices[Inv_Month], $H160)</f>
        <v>1436405.7999999998</v>
      </c>
    </row>
    <row r="161" spans="8:10" x14ac:dyDescent="0.3">
      <c r="H161" t="str">
        <v>2025-07</v>
      </c>
      <c r="I161">
        <f>SUMIFS(clean_purchase_orders[PO_Amount],  clean_purchase_orders[PO_Month], $H161)</f>
        <v>1127808</v>
      </c>
      <c r="J161">
        <f>SUMIFS(clean_invoices[Final_Amount],
       clean_invoices[Inv_Month], $H161)</f>
        <v>1121722.9200000002</v>
      </c>
    </row>
    <row r="162" spans="8:10" x14ac:dyDescent="0.3">
      <c r="H162" t="str">
        <v>2026-04</v>
      </c>
      <c r="I162">
        <f>SUMIFS(clean_purchase_orders[PO_Amount],  clean_purchase_orders[PO_Month], $H162)</f>
        <v>864086</v>
      </c>
      <c r="J162">
        <f>SUMIFS(clean_invoices[Final_Amount],
       clean_invoices[Inv_Month], $H162)</f>
        <v>938369.04</v>
      </c>
    </row>
    <row r="163" spans="8:10" x14ac:dyDescent="0.3">
      <c r="H163" t="str">
        <v>2025-11</v>
      </c>
      <c r="I163">
        <f>SUMIFS(clean_purchase_orders[PO_Amount],  clean_purchase_orders[PO_Month], $H163)</f>
        <v>1073550</v>
      </c>
      <c r="J163">
        <f>SUMIFS(clean_invoices[Final_Amount],
       clean_invoices[Inv_Month], $H163)</f>
        <v>1086456.5199999998</v>
      </c>
    </row>
    <row r="164" spans="8:10" x14ac:dyDescent="0.3">
      <c r="H164" t="str">
        <v>2026-05</v>
      </c>
      <c r="I164">
        <f>SUMIFS(clean_purchase_orders[PO_Amount],  clean_purchase_orders[PO_Month], $H164)</f>
        <v>1541075</v>
      </c>
      <c r="J164">
        <f>SUMIFS(clean_invoices[Final_Amount],
       clean_invoices[Inv_Month], $H164)</f>
        <v>1653271.08</v>
      </c>
    </row>
    <row r="165" spans="8:10" x14ac:dyDescent="0.3">
      <c r="H165" t="str">
        <v>2025-08</v>
      </c>
      <c r="I165">
        <f>SUMIFS(clean_purchase_orders[PO_Amount],  clean_purchase_orders[PO_Month], $H165)</f>
        <v>708923</v>
      </c>
      <c r="J165">
        <f>SUMIFS(clean_invoices[Final_Amount],
       clean_invoices[Inv_Month], $H165)</f>
        <v>634312.72</v>
      </c>
    </row>
    <row r="166" spans="8:10" x14ac:dyDescent="0.3">
      <c r="H166" t="str">
        <v>2025-10</v>
      </c>
      <c r="I166">
        <f>SUMIFS(clean_purchase_orders[PO_Amount],  clean_purchase_orders[PO_Month], $H166)</f>
        <v>945460</v>
      </c>
      <c r="J166">
        <f>SUMIFS(clean_invoices[Final_Amount],
       clean_invoices[Inv_Month], $H166)</f>
        <v>1044033.1200000001</v>
      </c>
    </row>
    <row r="167" spans="8:10" x14ac:dyDescent="0.3">
      <c r="H167" t="str">
        <v>2026-05</v>
      </c>
      <c r="I167">
        <f>SUMIFS(clean_purchase_orders[PO_Amount],  clean_purchase_orders[PO_Month], $H167)</f>
        <v>1541075</v>
      </c>
      <c r="J167">
        <f>SUMIFS(clean_invoices[Final_Amount],
       clean_invoices[Inv_Month], $H167)</f>
        <v>1653271.08</v>
      </c>
    </row>
    <row r="168" spans="8:10" x14ac:dyDescent="0.3">
      <c r="H168" t="str">
        <v>2025-07</v>
      </c>
      <c r="I168">
        <f>SUMIFS(clean_purchase_orders[PO_Amount],  clean_purchase_orders[PO_Month], $H168)</f>
        <v>1127808</v>
      </c>
      <c r="J168">
        <f>SUMIFS(clean_invoices[Final_Amount],
       clean_invoices[Inv_Month], $H168)</f>
        <v>1121722.9200000002</v>
      </c>
    </row>
    <row r="169" spans="8:10" x14ac:dyDescent="0.3">
      <c r="H169" t="str">
        <v>2026-01</v>
      </c>
      <c r="I169">
        <f>SUMIFS(clean_purchase_orders[PO_Amount],  clean_purchase_orders[PO_Month], $H169)</f>
        <v>1743132</v>
      </c>
      <c r="J169">
        <f>SUMIFS(clean_invoices[Final_Amount],
       clean_invoices[Inv_Month], $H169)</f>
        <v>1895543.0799999998</v>
      </c>
    </row>
    <row r="170" spans="8:10" x14ac:dyDescent="0.3">
      <c r="H170" t="str">
        <v>2026-01</v>
      </c>
      <c r="I170">
        <f>SUMIFS(clean_purchase_orders[PO_Amount],  clean_purchase_orders[PO_Month], $H170)</f>
        <v>1743132</v>
      </c>
      <c r="J170">
        <f>SUMIFS(clean_invoices[Final_Amount],
       clean_invoices[Inv_Month], $H170)</f>
        <v>1895543.0799999998</v>
      </c>
    </row>
    <row r="171" spans="8:10" x14ac:dyDescent="0.3">
      <c r="H171" t="str">
        <v>2025-07</v>
      </c>
      <c r="I171">
        <f>SUMIFS(clean_purchase_orders[PO_Amount],  clean_purchase_orders[PO_Month], $H171)</f>
        <v>1127808</v>
      </c>
      <c r="J171">
        <f>SUMIFS(clean_invoices[Final_Amount],
       clean_invoices[Inv_Month], $H171)</f>
        <v>1121722.9200000002</v>
      </c>
    </row>
    <row r="172" spans="8:10" x14ac:dyDescent="0.3">
      <c r="H172" t="str">
        <v>2026-06</v>
      </c>
      <c r="I172">
        <f>SUMIFS(clean_purchase_orders[PO_Amount],  clean_purchase_orders[PO_Month], $H172)</f>
        <v>971692</v>
      </c>
      <c r="J172">
        <f>SUMIFS(clean_invoices[Final_Amount],
       clean_invoices[Inv_Month], $H172)</f>
        <v>1250323.24</v>
      </c>
    </row>
    <row r="173" spans="8:10" x14ac:dyDescent="0.3">
      <c r="H173" t="str">
        <v>2025-11</v>
      </c>
      <c r="I173">
        <f>SUMIFS(clean_purchase_orders[PO_Amount],  clean_purchase_orders[PO_Month], $H173)</f>
        <v>1073550</v>
      </c>
      <c r="J173">
        <f>SUMIFS(clean_invoices[Final_Amount],
       clean_invoices[Inv_Month], $H173)</f>
        <v>1086456.5199999998</v>
      </c>
    </row>
    <row r="174" spans="8:10" x14ac:dyDescent="0.3">
      <c r="H174" t="str">
        <v>2026-06</v>
      </c>
      <c r="I174">
        <f>SUMIFS(clean_purchase_orders[PO_Amount],  clean_purchase_orders[PO_Month], $H174)</f>
        <v>971692</v>
      </c>
      <c r="J174">
        <f>SUMIFS(clean_invoices[Final_Amount],
       clean_invoices[Inv_Month], $H174)</f>
        <v>1250323.24</v>
      </c>
    </row>
    <row r="175" spans="8:10" x14ac:dyDescent="0.3">
      <c r="H175" t="str">
        <v>2026-03</v>
      </c>
      <c r="I175">
        <f>SUMIFS(clean_purchase_orders[PO_Amount],  clean_purchase_orders[PO_Month], $H175)</f>
        <v>792360</v>
      </c>
      <c r="J175">
        <f>SUMIFS(clean_invoices[Final_Amount],
       clean_invoices[Inv_Month], $H175)</f>
        <v>662515.67999999993</v>
      </c>
    </row>
    <row r="176" spans="8:10" x14ac:dyDescent="0.3">
      <c r="H176" t="str">
        <v>2026-01</v>
      </c>
      <c r="I176">
        <f>SUMIFS(clean_purchase_orders[PO_Amount],  clean_purchase_orders[PO_Month], $H176)</f>
        <v>1743132</v>
      </c>
      <c r="J176">
        <f>SUMIFS(clean_invoices[Final_Amount],
       clean_invoices[Inv_Month], $H176)</f>
        <v>1895543.0799999998</v>
      </c>
    </row>
    <row r="177" spans="8:10" x14ac:dyDescent="0.3">
      <c r="H177" t="str">
        <v>2026-06</v>
      </c>
      <c r="I177">
        <f>SUMIFS(clean_purchase_orders[PO_Amount],  clean_purchase_orders[PO_Month], $H177)</f>
        <v>971692</v>
      </c>
      <c r="J177">
        <f>SUMIFS(clean_invoices[Final_Amount],
       clean_invoices[Inv_Month], $H177)</f>
        <v>1250323.24</v>
      </c>
    </row>
    <row r="178" spans="8:10" x14ac:dyDescent="0.3">
      <c r="H178" t="str">
        <v>2026-06</v>
      </c>
      <c r="I178">
        <f>SUMIFS(clean_purchase_orders[PO_Amount],  clean_purchase_orders[PO_Month], $H178)</f>
        <v>971692</v>
      </c>
      <c r="J178">
        <f>SUMIFS(clean_invoices[Final_Amount],
       clean_invoices[Inv_Month], $H178)</f>
        <v>1250323.24</v>
      </c>
    </row>
    <row r="179" spans="8:10" x14ac:dyDescent="0.3">
      <c r="H179" t="str">
        <v>2025-11</v>
      </c>
      <c r="I179">
        <f>SUMIFS(clean_purchase_orders[PO_Amount],  clean_purchase_orders[PO_Month], $H179)</f>
        <v>1073550</v>
      </c>
      <c r="J179">
        <f>SUMIFS(clean_invoices[Final_Amount],
       clean_invoices[Inv_Month], $H179)</f>
        <v>1086456.5199999998</v>
      </c>
    </row>
    <row r="180" spans="8:10" x14ac:dyDescent="0.3">
      <c r="H180" t="str">
        <v>2025-11</v>
      </c>
      <c r="I180">
        <f>SUMIFS(clean_purchase_orders[PO_Amount],  clean_purchase_orders[PO_Month], $H180)</f>
        <v>1073550</v>
      </c>
      <c r="J180">
        <f>SUMIFS(clean_invoices[Final_Amount],
       clean_invoices[Inv_Month], $H180)</f>
        <v>1086456.5199999998</v>
      </c>
    </row>
    <row r="181" spans="8:10" x14ac:dyDescent="0.3">
      <c r="H181" t="str">
        <v>2025-07</v>
      </c>
      <c r="I181">
        <f>SUMIFS(clean_purchase_orders[PO_Amount],  clean_purchase_orders[PO_Month], $H181)</f>
        <v>1127808</v>
      </c>
      <c r="J181">
        <f>SUMIFS(clean_invoices[Final_Amount],
       clean_invoices[Inv_Month], $H181)</f>
        <v>1121722.9200000002</v>
      </c>
    </row>
    <row r="182" spans="8:10" x14ac:dyDescent="0.3">
      <c r="H182" t="str">
        <v>2026-05</v>
      </c>
      <c r="I182">
        <f>SUMIFS(clean_purchase_orders[PO_Amount],  clean_purchase_orders[PO_Month], $H182)</f>
        <v>1541075</v>
      </c>
      <c r="J182">
        <f>SUMIFS(clean_invoices[Final_Amount],
       clean_invoices[Inv_Month], $H182)</f>
        <v>1653271.08</v>
      </c>
    </row>
    <row r="183" spans="8:10" x14ac:dyDescent="0.3">
      <c r="H183" t="str">
        <v>2026-01</v>
      </c>
      <c r="I183">
        <f>SUMIFS(clean_purchase_orders[PO_Amount],  clean_purchase_orders[PO_Month], $H183)</f>
        <v>1743132</v>
      </c>
      <c r="J183">
        <f>SUMIFS(clean_invoices[Final_Amount],
       clean_invoices[Inv_Month], $H183)</f>
        <v>1895543.0799999998</v>
      </c>
    </row>
    <row r="184" spans="8:10" x14ac:dyDescent="0.3">
      <c r="H184" t="str">
        <v>2026-01</v>
      </c>
      <c r="I184">
        <f>SUMIFS(clean_purchase_orders[PO_Amount],  clean_purchase_orders[PO_Month], $H184)</f>
        <v>1743132</v>
      </c>
      <c r="J184">
        <f>SUMIFS(clean_invoices[Final_Amount],
       clean_invoices[Inv_Month], $H184)</f>
        <v>1895543.0799999998</v>
      </c>
    </row>
    <row r="185" spans="8:10" x14ac:dyDescent="0.3">
      <c r="H185" t="str">
        <v>2026-01</v>
      </c>
      <c r="I185">
        <f>SUMIFS(clean_purchase_orders[PO_Amount],  clean_purchase_orders[PO_Month], $H185)</f>
        <v>1743132</v>
      </c>
      <c r="J185">
        <f>SUMIFS(clean_invoices[Final_Amount],
       clean_invoices[Inv_Month], $H185)</f>
        <v>1895543.0799999998</v>
      </c>
    </row>
    <row r="186" spans="8:10" x14ac:dyDescent="0.3">
      <c r="H186" t="str">
        <v>2025-08</v>
      </c>
      <c r="I186">
        <f>SUMIFS(clean_purchase_orders[PO_Amount],  clean_purchase_orders[PO_Month], $H186)</f>
        <v>708923</v>
      </c>
      <c r="J186">
        <f>SUMIFS(clean_invoices[Final_Amount],
       clean_invoices[Inv_Month], $H186)</f>
        <v>634312.72</v>
      </c>
    </row>
    <row r="187" spans="8:10" x14ac:dyDescent="0.3">
      <c r="H187" t="str">
        <v>2025-08</v>
      </c>
      <c r="I187">
        <f>SUMIFS(clean_purchase_orders[PO_Amount],  clean_purchase_orders[PO_Month], $H187)</f>
        <v>708923</v>
      </c>
      <c r="J187">
        <f>SUMIFS(clean_invoices[Final_Amount],
       clean_invoices[Inv_Month], $H187)</f>
        <v>634312.72</v>
      </c>
    </row>
    <row r="188" spans="8:10" x14ac:dyDescent="0.3">
      <c r="H188" t="str">
        <v>2026-06</v>
      </c>
      <c r="I188">
        <f>SUMIFS(clean_purchase_orders[PO_Amount],  clean_purchase_orders[PO_Month], $H188)</f>
        <v>971692</v>
      </c>
      <c r="J188">
        <f>SUMIFS(clean_invoices[Final_Amount],
       clean_invoices[Inv_Month], $H188)</f>
        <v>1250323.24</v>
      </c>
    </row>
    <row r="189" spans="8:10" x14ac:dyDescent="0.3">
      <c r="H189" t="str">
        <v>2026-01</v>
      </c>
      <c r="I189">
        <f>SUMIFS(clean_purchase_orders[PO_Amount],  clean_purchase_orders[PO_Month], $H189)</f>
        <v>1743132</v>
      </c>
      <c r="J189">
        <f>SUMIFS(clean_invoices[Final_Amount],
       clean_invoices[Inv_Month], $H189)</f>
        <v>1895543.0799999998</v>
      </c>
    </row>
    <row r="190" spans="8:10" x14ac:dyDescent="0.3">
      <c r="H190" t="str">
        <v>2026-05</v>
      </c>
      <c r="I190">
        <f>SUMIFS(clean_purchase_orders[PO_Amount],  clean_purchase_orders[PO_Month], $H190)</f>
        <v>1541075</v>
      </c>
      <c r="J190">
        <f>SUMIFS(clean_invoices[Final_Amount],
       clean_invoices[Inv_Month], $H190)</f>
        <v>1653271.08</v>
      </c>
    </row>
    <row r="191" spans="8:10" x14ac:dyDescent="0.3">
      <c r="H191" t="str">
        <v>2026-01</v>
      </c>
      <c r="I191">
        <f>SUMIFS(clean_purchase_orders[PO_Amount],  clean_purchase_orders[PO_Month], $H191)</f>
        <v>1743132</v>
      </c>
      <c r="J191">
        <f>SUMIFS(clean_invoices[Final_Amount],
       clean_invoices[Inv_Month], $H191)</f>
        <v>1895543.0799999998</v>
      </c>
    </row>
    <row r="192" spans="8:10" x14ac:dyDescent="0.3">
      <c r="H192" t="str">
        <v>2025-11</v>
      </c>
      <c r="I192">
        <f>SUMIFS(clean_purchase_orders[PO_Amount],  clean_purchase_orders[PO_Month], $H192)</f>
        <v>1073550</v>
      </c>
      <c r="J192">
        <f>SUMIFS(clean_invoices[Final_Amount],
       clean_invoices[Inv_Month], $H192)</f>
        <v>1086456.5199999998</v>
      </c>
    </row>
    <row r="193" spans="8:10" x14ac:dyDescent="0.3">
      <c r="H193" t="str">
        <v>2025-09</v>
      </c>
      <c r="I193">
        <f>SUMIFS(clean_purchase_orders[PO_Amount],  clean_purchase_orders[PO_Month], $H193)</f>
        <v>1210333</v>
      </c>
      <c r="J193">
        <f>SUMIFS(clean_invoices[Final_Amount],
       clean_invoices[Inv_Month], $H193)</f>
        <v>1436405.7999999998</v>
      </c>
    </row>
    <row r="194" spans="8:10" x14ac:dyDescent="0.3">
      <c r="H194" t="str">
        <v>2026-01</v>
      </c>
      <c r="I194">
        <f>SUMIFS(clean_purchase_orders[PO_Amount],  clean_purchase_orders[PO_Month], $H194)</f>
        <v>1743132</v>
      </c>
      <c r="J194">
        <f>SUMIFS(clean_invoices[Final_Amount],
       clean_invoices[Inv_Month], $H194)</f>
        <v>1895543.0799999998</v>
      </c>
    </row>
    <row r="195" spans="8:10" x14ac:dyDescent="0.3">
      <c r="H195" t="str">
        <v>2025-09</v>
      </c>
      <c r="I195">
        <f>SUMIFS(clean_purchase_orders[PO_Amount],  clean_purchase_orders[PO_Month], $H195)</f>
        <v>1210333</v>
      </c>
      <c r="J195">
        <f>SUMIFS(clean_invoices[Final_Amount],
       clean_invoices[Inv_Month], $H195)</f>
        <v>1436405.7999999998</v>
      </c>
    </row>
    <row r="196" spans="8:10" x14ac:dyDescent="0.3">
      <c r="H196" t="str">
        <v>2025-07</v>
      </c>
      <c r="I196">
        <f>SUMIFS(clean_purchase_orders[PO_Amount],  clean_purchase_orders[PO_Month], $H196)</f>
        <v>1127808</v>
      </c>
      <c r="J196">
        <f>SUMIFS(clean_invoices[Final_Amount],
       clean_invoices[Inv_Month], $H196)</f>
        <v>1121722.9200000002</v>
      </c>
    </row>
    <row r="197" spans="8:10" x14ac:dyDescent="0.3">
      <c r="H197" t="str">
        <v>2025-09</v>
      </c>
      <c r="I197">
        <f>SUMIFS(clean_purchase_orders[PO_Amount],  clean_purchase_orders[PO_Month], $H197)</f>
        <v>1210333</v>
      </c>
      <c r="J197">
        <f>SUMIFS(clean_invoices[Final_Amount],
       clean_invoices[Inv_Month], $H197)</f>
        <v>1436405.7999999998</v>
      </c>
    </row>
    <row r="198" spans="8:10" x14ac:dyDescent="0.3">
      <c r="H198" t="str">
        <v>2025-12</v>
      </c>
      <c r="I198">
        <f>SUMIFS(clean_purchase_orders[PO_Amount],  clean_purchase_orders[PO_Month], $H198)</f>
        <v>494296</v>
      </c>
      <c r="J198">
        <f>SUMIFS(clean_invoices[Final_Amount],
       clean_invoices[Inv_Month], $H198)</f>
        <v>657403.99999999977</v>
      </c>
    </row>
    <row r="199" spans="8:10" x14ac:dyDescent="0.3">
      <c r="H199" t="str">
        <v>2025-12</v>
      </c>
      <c r="I199">
        <f>SUMIFS(clean_purchase_orders[PO_Amount],  clean_purchase_orders[PO_Month], $H199)</f>
        <v>494296</v>
      </c>
      <c r="J199">
        <f>SUMIFS(clean_invoices[Final_Amount],
       clean_invoices[Inv_Month], $H199)</f>
        <v>657403.99999999977</v>
      </c>
    </row>
    <row r="200" spans="8:10" x14ac:dyDescent="0.3">
      <c r="H200" t="str">
        <v>2025-10</v>
      </c>
      <c r="I200">
        <f>SUMIFS(clean_purchase_orders[PO_Amount],  clean_purchase_orders[PO_Month], $H200)</f>
        <v>945460</v>
      </c>
      <c r="J200">
        <f>SUMIFS(clean_invoices[Final_Amount],
       clean_invoices[Inv_Month], $H200)</f>
        <v>1044033.1200000001</v>
      </c>
    </row>
    <row r="201" spans="8:10" x14ac:dyDescent="0.3">
      <c r="H201" t="str">
        <v>2026-02</v>
      </c>
      <c r="I201">
        <f>SUMIFS(clean_purchase_orders[PO_Amount],  clean_purchase_orders[PO_Month], $H201)</f>
        <v>915804</v>
      </c>
      <c r="J201">
        <f>SUMIFS(clean_invoices[Final_Amount],
       clean_invoices[Inv_Month], $H201)</f>
        <v>980107.32</v>
      </c>
    </row>
    <row r="202" spans="8:10" x14ac:dyDescent="0.3">
      <c r="H202" t="str">
        <v>2025-11</v>
      </c>
      <c r="I202">
        <f>SUMIFS(clean_purchase_orders[PO_Amount],  clean_purchase_orders[PO_Month], $H202)</f>
        <v>1073550</v>
      </c>
      <c r="J202">
        <f>SUMIFS(clean_invoices[Final_Amount],
       clean_invoices[Inv_Month], $H202)</f>
        <v>1086456.5199999998</v>
      </c>
    </row>
    <row r="203" spans="8:10" x14ac:dyDescent="0.3">
      <c r="H203" t="str">
        <v>2025-07</v>
      </c>
      <c r="I203">
        <f>SUMIFS(clean_purchase_orders[PO_Amount],  clean_purchase_orders[PO_Month], $H203)</f>
        <v>1127808</v>
      </c>
      <c r="J203">
        <f>SUMIFS(clean_invoices[Final_Amount],
       clean_invoices[Inv_Month], $H203)</f>
        <v>1121722.9200000002</v>
      </c>
    </row>
    <row r="204" spans="8:10" x14ac:dyDescent="0.3">
      <c r="H204" t="str">
        <v>2026-01</v>
      </c>
      <c r="I204">
        <f>SUMIFS(clean_purchase_orders[PO_Amount],  clean_purchase_orders[PO_Month], $H204)</f>
        <v>1743132</v>
      </c>
      <c r="J204">
        <f>SUMIFS(clean_invoices[Final_Amount],
       clean_invoices[Inv_Month], $H204)</f>
        <v>1895543.0799999998</v>
      </c>
    </row>
    <row r="205" spans="8:10" x14ac:dyDescent="0.3">
      <c r="H205" t="str">
        <v>2026-06</v>
      </c>
      <c r="I205">
        <f>SUMIFS(clean_purchase_orders[PO_Amount],  clean_purchase_orders[PO_Month], $H205)</f>
        <v>971692</v>
      </c>
      <c r="J205">
        <f>SUMIFS(clean_invoices[Final_Amount],
       clean_invoices[Inv_Month], $H205)</f>
        <v>1250323.24</v>
      </c>
    </row>
    <row r="206" spans="8:10" x14ac:dyDescent="0.3">
      <c r="H206" t="str">
        <v>2025-08</v>
      </c>
      <c r="I206">
        <f>SUMIFS(clean_purchase_orders[PO_Amount],  clean_purchase_orders[PO_Month], $H206)</f>
        <v>708923</v>
      </c>
      <c r="J206">
        <f>SUMIFS(clean_invoices[Final_Amount],
       clean_invoices[Inv_Month], $H206)</f>
        <v>634312.72</v>
      </c>
    </row>
    <row r="207" spans="8:10" x14ac:dyDescent="0.3">
      <c r="H207" t="str">
        <v>2026-05</v>
      </c>
      <c r="I207">
        <f>SUMIFS(clean_purchase_orders[PO_Amount],  clean_purchase_orders[PO_Month], $H207)</f>
        <v>1541075</v>
      </c>
      <c r="J207">
        <f>SUMIFS(clean_invoices[Final_Amount],
       clean_invoices[Inv_Month], $H207)</f>
        <v>1653271.08</v>
      </c>
    </row>
    <row r="208" spans="8:10" x14ac:dyDescent="0.3">
      <c r="H208" t="str">
        <v>2025-07</v>
      </c>
      <c r="I208">
        <f>SUMIFS(clean_purchase_orders[PO_Amount],  clean_purchase_orders[PO_Month], $H208)</f>
        <v>1127808</v>
      </c>
      <c r="J208">
        <f>SUMIFS(clean_invoices[Final_Amount],
       clean_invoices[Inv_Month], $H208)</f>
        <v>1121722.9200000002</v>
      </c>
    </row>
    <row r="209" spans="8:10" x14ac:dyDescent="0.3">
      <c r="H209" t="str">
        <v>2025-07</v>
      </c>
      <c r="I209">
        <f>SUMIFS(clean_purchase_orders[PO_Amount],  clean_purchase_orders[PO_Month], $H209)</f>
        <v>1127808</v>
      </c>
      <c r="J209">
        <f>SUMIFS(clean_invoices[Final_Amount],
       clean_invoices[Inv_Month], $H209)</f>
        <v>1121722.9200000002</v>
      </c>
    </row>
    <row r="210" spans="8:10" x14ac:dyDescent="0.3">
      <c r="H210" t="str">
        <v>2026-01</v>
      </c>
      <c r="I210">
        <f>SUMIFS(clean_purchase_orders[PO_Amount],  clean_purchase_orders[PO_Month], $H210)</f>
        <v>1743132</v>
      </c>
      <c r="J210">
        <f>SUMIFS(clean_invoices[Final_Amount],
       clean_invoices[Inv_Month], $H210)</f>
        <v>1895543.0799999998</v>
      </c>
    </row>
    <row r="211" spans="8:10" x14ac:dyDescent="0.3">
      <c r="H211" t="str">
        <v>2026-01</v>
      </c>
      <c r="I211">
        <f>SUMIFS(clean_purchase_orders[PO_Amount],  clean_purchase_orders[PO_Month], $H211)</f>
        <v>1743132</v>
      </c>
      <c r="J211">
        <f>SUMIFS(clean_invoices[Final_Amount],
       clean_invoices[Inv_Month], $H211)</f>
        <v>1895543.0799999998</v>
      </c>
    </row>
    <row r="212" spans="8:10" x14ac:dyDescent="0.3">
      <c r="H212" t="str">
        <v>2026-02</v>
      </c>
      <c r="I212">
        <f>SUMIFS(clean_purchase_orders[PO_Amount],  clean_purchase_orders[PO_Month], $H212)</f>
        <v>915804</v>
      </c>
      <c r="J212">
        <f>SUMIFS(clean_invoices[Final_Amount],
       clean_invoices[Inv_Month], $H212)</f>
        <v>980107.32</v>
      </c>
    </row>
    <row r="213" spans="8:10" x14ac:dyDescent="0.3">
      <c r="H213" t="str">
        <v>2025-12</v>
      </c>
      <c r="I213">
        <f>SUMIFS(clean_purchase_orders[PO_Amount],  clean_purchase_orders[PO_Month], $H213)</f>
        <v>494296</v>
      </c>
      <c r="J213">
        <f>SUMIFS(clean_invoices[Final_Amount],
       clean_invoices[Inv_Month], $H213)</f>
        <v>657403.99999999977</v>
      </c>
    </row>
    <row r="214" spans="8:10" x14ac:dyDescent="0.3">
      <c r="H214" t="str">
        <v>2025-07</v>
      </c>
      <c r="I214">
        <f>SUMIFS(clean_purchase_orders[PO_Amount],  clean_purchase_orders[PO_Month], $H214)</f>
        <v>1127808</v>
      </c>
      <c r="J214">
        <f>SUMIFS(clean_invoices[Final_Amount],
       clean_invoices[Inv_Month], $H214)</f>
        <v>1121722.9200000002</v>
      </c>
    </row>
    <row r="215" spans="8:10" x14ac:dyDescent="0.3">
      <c r="H215" t="str">
        <v>2026-05</v>
      </c>
      <c r="I215">
        <f>SUMIFS(clean_purchase_orders[PO_Amount],  clean_purchase_orders[PO_Month], $H215)</f>
        <v>1541075</v>
      </c>
      <c r="J215">
        <f>SUMIFS(clean_invoices[Final_Amount],
       clean_invoices[Inv_Month], $H215)</f>
        <v>1653271.08</v>
      </c>
    </row>
    <row r="216" spans="8:10" x14ac:dyDescent="0.3">
      <c r="H216" t="str">
        <v>2026-03</v>
      </c>
      <c r="I216">
        <f>SUMIFS(clean_purchase_orders[PO_Amount],  clean_purchase_orders[PO_Month], $H216)</f>
        <v>792360</v>
      </c>
      <c r="J216">
        <f>SUMIFS(clean_invoices[Final_Amount],
       clean_invoices[Inv_Month], $H216)</f>
        <v>662515.67999999993</v>
      </c>
    </row>
    <row r="217" spans="8:10" x14ac:dyDescent="0.3">
      <c r="H217" t="str">
        <v>2026-04</v>
      </c>
      <c r="I217">
        <f>SUMIFS(clean_purchase_orders[PO_Amount],  clean_purchase_orders[PO_Month], $H217)</f>
        <v>864086</v>
      </c>
      <c r="J217">
        <f>SUMIFS(clean_invoices[Final_Amount],
       clean_invoices[Inv_Month], $H217)</f>
        <v>938369.04</v>
      </c>
    </row>
    <row r="218" spans="8:10" x14ac:dyDescent="0.3">
      <c r="H218" t="str">
        <v>2025-08</v>
      </c>
      <c r="I218">
        <f>SUMIFS(clean_purchase_orders[PO_Amount],  clean_purchase_orders[PO_Month], $H218)</f>
        <v>708923</v>
      </c>
      <c r="J218">
        <f>SUMIFS(clean_invoices[Final_Amount],
       clean_invoices[Inv_Month], $H218)</f>
        <v>634312.72</v>
      </c>
    </row>
    <row r="219" spans="8:10" x14ac:dyDescent="0.3">
      <c r="H219" t="str">
        <v>2026-06</v>
      </c>
      <c r="I219">
        <f>SUMIFS(clean_purchase_orders[PO_Amount],  clean_purchase_orders[PO_Month], $H219)</f>
        <v>971692</v>
      </c>
      <c r="J219">
        <f>SUMIFS(clean_invoices[Final_Amount],
       clean_invoices[Inv_Month], $H219)</f>
        <v>1250323.24</v>
      </c>
    </row>
    <row r="220" spans="8:10" x14ac:dyDescent="0.3">
      <c r="H220" t="str">
        <v>2025-10</v>
      </c>
      <c r="I220">
        <f>SUMIFS(clean_purchase_orders[PO_Amount],  clean_purchase_orders[PO_Month], $H220)</f>
        <v>945460</v>
      </c>
      <c r="J220">
        <f>SUMIFS(clean_invoices[Final_Amount],
       clean_invoices[Inv_Month], $H220)</f>
        <v>1044033.1200000001</v>
      </c>
    </row>
    <row r="221" spans="8:10" x14ac:dyDescent="0.3">
      <c r="H221" t="str">
        <v>2025-09</v>
      </c>
      <c r="I221">
        <f>SUMIFS(clean_purchase_orders[PO_Amount],  clean_purchase_orders[PO_Month], $H221)</f>
        <v>1210333</v>
      </c>
      <c r="J221">
        <f>SUMIFS(clean_invoices[Final_Amount],
       clean_invoices[Inv_Month], $H221)</f>
        <v>1436405.7999999998</v>
      </c>
    </row>
    <row r="222" spans="8:10" x14ac:dyDescent="0.3">
      <c r="H222" t="str">
        <v>2026-05</v>
      </c>
      <c r="I222">
        <f>SUMIFS(clean_purchase_orders[PO_Amount],  clean_purchase_orders[PO_Month], $H222)</f>
        <v>1541075</v>
      </c>
      <c r="J222">
        <f>SUMIFS(clean_invoices[Final_Amount],
       clean_invoices[Inv_Month], $H222)</f>
        <v>1653271.08</v>
      </c>
    </row>
    <row r="223" spans="8:10" x14ac:dyDescent="0.3">
      <c r="H223" t="str">
        <v>2026-04</v>
      </c>
      <c r="I223">
        <f>SUMIFS(clean_purchase_orders[PO_Amount],  clean_purchase_orders[PO_Month], $H223)</f>
        <v>864086</v>
      </c>
      <c r="J223">
        <f>SUMIFS(clean_invoices[Final_Amount],
       clean_invoices[Inv_Month], $H223)</f>
        <v>938369.04</v>
      </c>
    </row>
    <row r="224" spans="8:10" x14ac:dyDescent="0.3">
      <c r="H224" t="str">
        <v>2025-07</v>
      </c>
      <c r="I224">
        <f>SUMIFS(clean_purchase_orders[PO_Amount],  clean_purchase_orders[PO_Month], $H224)</f>
        <v>1127808</v>
      </c>
      <c r="J224">
        <f>SUMIFS(clean_invoices[Final_Amount],
       clean_invoices[Inv_Month], $H224)</f>
        <v>1121722.9200000002</v>
      </c>
    </row>
    <row r="225" spans="8:10" x14ac:dyDescent="0.3">
      <c r="H225" t="str">
        <v>2026-03</v>
      </c>
      <c r="I225">
        <f>SUMIFS(clean_purchase_orders[PO_Amount],  clean_purchase_orders[PO_Month], $H225)</f>
        <v>792360</v>
      </c>
      <c r="J225">
        <f>SUMIFS(clean_invoices[Final_Amount],
       clean_invoices[Inv_Month], $H225)</f>
        <v>662515.67999999993</v>
      </c>
    </row>
    <row r="226" spans="8:10" x14ac:dyDescent="0.3">
      <c r="H226" t="str">
        <v>2025-12</v>
      </c>
      <c r="I226">
        <f>SUMIFS(clean_purchase_orders[PO_Amount],  clean_purchase_orders[PO_Month], $H226)</f>
        <v>494296</v>
      </c>
      <c r="J226">
        <f>SUMIFS(clean_invoices[Final_Amount],
       clean_invoices[Inv_Month], $H226)</f>
        <v>657403.99999999977</v>
      </c>
    </row>
    <row r="227" spans="8:10" x14ac:dyDescent="0.3">
      <c r="H227" t="str">
        <v>2025-11</v>
      </c>
      <c r="I227">
        <f>SUMIFS(clean_purchase_orders[PO_Amount],  clean_purchase_orders[PO_Month], $H227)</f>
        <v>1073550</v>
      </c>
      <c r="J227">
        <f>SUMIFS(clean_invoices[Final_Amount],
       clean_invoices[Inv_Month], $H227)</f>
        <v>1086456.5199999998</v>
      </c>
    </row>
    <row r="228" spans="8:10" x14ac:dyDescent="0.3">
      <c r="H228" t="str">
        <v>2025-12</v>
      </c>
      <c r="I228">
        <f>SUMIFS(clean_purchase_orders[PO_Amount],  clean_purchase_orders[PO_Month], $H228)</f>
        <v>494296</v>
      </c>
      <c r="J228">
        <f>SUMIFS(clean_invoices[Final_Amount],
       clean_invoices[Inv_Month], $H228)</f>
        <v>657403.99999999977</v>
      </c>
    </row>
    <row r="229" spans="8:10" x14ac:dyDescent="0.3">
      <c r="H229" t="str">
        <v>2025-12</v>
      </c>
      <c r="I229">
        <f>SUMIFS(clean_purchase_orders[PO_Amount],  clean_purchase_orders[PO_Month], $H229)</f>
        <v>494296</v>
      </c>
      <c r="J229">
        <f>SUMIFS(clean_invoices[Final_Amount],
       clean_invoices[Inv_Month], $H229)</f>
        <v>657403.99999999977</v>
      </c>
    </row>
    <row r="230" spans="8:10" x14ac:dyDescent="0.3">
      <c r="H230" t="str">
        <v>2025-08</v>
      </c>
      <c r="I230">
        <f>SUMIFS(clean_purchase_orders[PO_Amount],  clean_purchase_orders[PO_Month], $H230)</f>
        <v>708923</v>
      </c>
      <c r="J230">
        <f>SUMIFS(clean_invoices[Final_Amount],
       clean_invoices[Inv_Month], $H230)</f>
        <v>634312.72</v>
      </c>
    </row>
    <row r="231" spans="8:10" x14ac:dyDescent="0.3">
      <c r="H231" t="str">
        <v>2025-10</v>
      </c>
      <c r="I231">
        <f>SUMIFS(clean_purchase_orders[PO_Amount],  clean_purchase_orders[PO_Month], $H231)</f>
        <v>945460</v>
      </c>
      <c r="J231">
        <f>SUMIFS(clean_invoices[Final_Amount],
       clean_invoices[Inv_Month], $H231)</f>
        <v>1044033.1200000001</v>
      </c>
    </row>
    <row r="232" spans="8:10" x14ac:dyDescent="0.3">
      <c r="H232" t="str">
        <v>2025-09</v>
      </c>
      <c r="I232">
        <f>SUMIFS(clean_purchase_orders[PO_Amount],  clean_purchase_orders[PO_Month], $H232)</f>
        <v>1210333</v>
      </c>
      <c r="J232">
        <f>SUMIFS(clean_invoices[Final_Amount],
       clean_invoices[Inv_Month], $H232)</f>
        <v>1436405.7999999998</v>
      </c>
    </row>
    <row r="233" spans="8:10" x14ac:dyDescent="0.3">
      <c r="H233" t="str">
        <v>2026-03</v>
      </c>
      <c r="I233">
        <f>SUMIFS(clean_purchase_orders[PO_Amount],  clean_purchase_orders[PO_Month], $H233)</f>
        <v>792360</v>
      </c>
      <c r="J233">
        <f>SUMIFS(clean_invoices[Final_Amount],
       clean_invoices[Inv_Month], $H233)</f>
        <v>662515.67999999993</v>
      </c>
    </row>
    <row r="234" spans="8:10" x14ac:dyDescent="0.3">
      <c r="H234" t="str">
        <v>2025-10</v>
      </c>
      <c r="I234">
        <f>SUMIFS(clean_purchase_orders[PO_Amount],  clean_purchase_orders[PO_Month], $H234)</f>
        <v>945460</v>
      </c>
      <c r="J234">
        <f>SUMIFS(clean_invoices[Final_Amount],
       clean_invoices[Inv_Month], $H234)</f>
        <v>1044033.1200000001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379AC-5AAF-4879-9242-E6BA9B53F04C}">
  <dimension ref="A1:F201"/>
  <sheetViews>
    <sheetView workbookViewId="0"/>
  </sheetViews>
  <sheetFormatPr defaultRowHeight="14.4" x14ac:dyDescent="0.3"/>
  <cols>
    <col min="1" max="1" width="13.88671875" bestFit="1" customWidth="1"/>
    <col min="2" max="2" width="13.21875" bestFit="1" customWidth="1"/>
    <col min="3" max="3" width="15.44140625" bestFit="1" customWidth="1"/>
    <col min="4" max="4" width="14.6640625" bestFit="1" customWidth="1"/>
    <col min="5" max="5" width="12.6640625" bestFit="1" customWidth="1"/>
    <col min="6" max="6" width="17.5546875" bestFit="1" customWidth="1"/>
  </cols>
  <sheetData>
    <row r="1" spans="1:6" x14ac:dyDescent="0.3">
      <c r="A1" t="s">
        <v>693</v>
      </c>
      <c r="B1" t="s">
        <v>223</v>
      </c>
      <c r="C1" t="s">
        <v>694</v>
      </c>
      <c r="D1" t="s">
        <v>695</v>
      </c>
      <c r="E1" t="s">
        <v>696</v>
      </c>
      <c r="F1" t="s">
        <v>697</v>
      </c>
    </row>
    <row r="2" spans="1:6" x14ac:dyDescent="0.3">
      <c r="A2" s="1" t="s">
        <v>698</v>
      </c>
      <c r="B2" s="1" t="s">
        <v>233</v>
      </c>
      <c r="C2" s="2">
        <v>46171</v>
      </c>
      <c r="D2" s="2">
        <v>46186</v>
      </c>
      <c r="E2">
        <v>6</v>
      </c>
      <c r="F2" s="1" t="s">
        <v>699</v>
      </c>
    </row>
    <row r="3" spans="1:6" x14ac:dyDescent="0.3">
      <c r="A3" s="1" t="s">
        <v>700</v>
      </c>
      <c r="B3" s="1" t="s">
        <v>236</v>
      </c>
      <c r="C3" s="2">
        <v>45863</v>
      </c>
      <c r="D3" s="2">
        <v>45881</v>
      </c>
      <c r="E3">
        <v>3</v>
      </c>
      <c r="F3" s="1" t="s">
        <v>701</v>
      </c>
    </row>
    <row r="4" spans="1:6" x14ac:dyDescent="0.3">
      <c r="A4" s="1" t="s">
        <v>702</v>
      </c>
      <c r="B4" s="1" t="s">
        <v>239</v>
      </c>
      <c r="C4" s="2">
        <v>45910</v>
      </c>
      <c r="D4" s="2">
        <v>45917</v>
      </c>
      <c r="E4">
        <v>4</v>
      </c>
      <c r="F4" s="1" t="s">
        <v>703</v>
      </c>
    </row>
    <row r="5" spans="1:6" x14ac:dyDescent="0.3">
      <c r="A5" s="1" t="s">
        <v>704</v>
      </c>
      <c r="B5" s="1" t="s">
        <v>241</v>
      </c>
      <c r="C5" s="2">
        <v>46011</v>
      </c>
      <c r="D5" s="2">
        <v>46017</v>
      </c>
      <c r="E5">
        <v>1</v>
      </c>
      <c r="F5" s="1" t="s">
        <v>703</v>
      </c>
    </row>
    <row r="6" spans="1:6" x14ac:dyDescent="0.3">
      <c r="A6" s="1" t="s">
        <v>705</v>
      </c>
      <c r="B6" s="1" t="s">
        <v>243</v>
      </c>
      <c r="C6" s="2">
        <v>46093</v>
      </c>
      <c r="D6" s="2">
        <v>46107</v>
      </c>
      <c r="E6">
        <v>8</v>
      </c>
      <c r="F6" s="1" t="s">
        <v>699</v>
      </c>
    </row>
    <row r="7" spans="1:6" x14ac:dyDescent="0.3">
      <c r="A7" s="1" t="s">
        <v>706</v>
      </c>
      <c r="B7" s="1" t="s">
        <v>245</v>
      </c>
      <c r="C7" s="2">
        <v>46146</v>
      </c>
      <c r="D7" s="2">
        <v>46150</v>
      </c>
      <c r="E7">
        <v>0</v>
      </c>
      <c r="F7" s="1" t="s">
        <v>701</v>
      </c>
    </row>
    <row r="8" spans="1:6" x14ac:dyDescent="0.3">
      <c r="A8" s="1" t="s">
        <v>707</v>
      </c>
      <c r="B8" s="1" t="s">
        <v>247</v>
      </c>
      <c r="C8" s="2">
        <v>45959</v>
      </c>
      <c r="D8" s="2">
        <v>45986</v>
      </c>
      <c r="E8">
        <v>8</v>
      </c>
      <c r="F8" s="1" t="s">
        <v>703</v>
      </c>
    </row>
    <row r="9" spans="1:6" x14ac:dyDescent="0.3">
      <c r="A9" s="1" t="s">
        <v>708</v>
      </c>
      <c r="B9" s="1" t="s">
        <v>249</v>
      </c>
      <c r="C9" s="2">
        <v>46011</v>
      </c>
      <c r="D9" s="2">
        <v>46022</v>
      </c>
      <c r="E9">
        <v>4</v>
      </c>
      <c r="F9" s="1" t="s">
        <v>699</v>
      </c>
    </row>
    <row r="10" spans="1:6" x14ac:dyDescent="0.3">
      <c r="A10" s="1" t="s">
        <v>709</v>
      </c>
      <c r="B10" s="1" t="s">
        <v>251</v>
      </c>
      <c r="C10" s="2">
        <v>45929</v>
      </c>
      <c r="D10" s="2">
        <v>45950</v>
      </c>
      <c r="E10">
        <v>7</v>
      </c>
      <c r="F10" s="1" t="s">
        <v>699</v>
      </c>
    </row>
    <row r="11" spans="1:6" x14ac:dyDescent="0.3">
      <c r="A11" s="1" t="s">
        <v>710</v>
      </c>
      <c r="B11" s="1" t="s">
        <v>254</v>
      </c>
      <c r="C11" s="2">
        <v>46115</v>
      </c>
      <c r="D11" s="2">
        <v>46130</v>
      </c>
      <c r="E11">
        <v>5</v>
      </c>
      <c r="F11" s="1" t="s">
        <v>701</v>
      </c>
    </row>
    <row r="12" spans="1:6" x14ac:dyDescent="0.3">
      <c r="A12" s="1" t="s">
        <v>711</v>
      </c>
      <c r="B12" s="1" t="s">
        <v>256</v>
      </c>
      <c r="C12" s="2">
        <v>46025</v>
      </c>
      <c r="D12" s="2">
        <v>46048</v>
      </c>
      <c r="E12">
        <v>4</v>
      </c>
      <c r="F12" s="1" t="s">
        <v>703</v>
      </c>
    </row>
    <row r="13" spans="1:6" x14ac:dyDescent="0.3">
      <c r="A13" s="1" t="s">
        <v>712</v>
      </c>
      <c r="B13" s="1" t="s">
        <v>258</v>
      </c>
      <c r="C13" s="2">
        <v>46135</v>
      </c>
      <c r="D13" s="2">
        <v>46136</v>
      </c>
      <c r="E13">
        <v>-2</v>
      </c>
      <c r="F13" s="1" t="s">
        <v>701</v>
      </c>
    </row>
    <row r="14" spans="1:6" x14ac:dyDescent="0.3">
      <c r="A14" s="1" t="s">
        <v>713</v>
      </c>
      <c r="B14" s="1" t="s">
        <v>260</v>
      </c>
      <c r="C14" s="2">
        <v>45893</v>
      </c>
      <c r="D14" s="2">
        <v>45906</v>
      </c>
      <c r="E14">
        <v>1</v>
      </c>
      <c r="F14" s="1" t="s">
        <v>699</v>
      </c>
    </row>
    <row r="15" spans="1:6" x14ac:dyDescent="0.3">
      <c r="A15" s="1" t="s">
        <v>714</v>
      </c>
      <c r="B15" s="1" t="s">
        <v>262</v>
      </c>
      <c r="C15" s="2">
        <v>46097</v>
      </c>
      <c r="D15" s="2">
        <v>46117</v>
      </c>
      <c r="E15">
        <v>2</v>
      </c>
      <c r="F15" s="1" t="s">
        <v>701</v>
      </c>
    </row>
    <row r="16" spans="1:6" x14ac:dyDescent="0.3">
      <c r="A16" s="1" t="s">
        <v>715</v>
      </c>
      <c r="B16" s="1" t="s">
        <v>264</v>
      </c>
      <c r="C16" s="2">
        <v>46012</v>
      </c>
      <c r="D16" s="2">
        <v>46018</v>
      </c>
      <c r="E16">
        <v>-1</v>
      </c>
      <c r="F16" s="1" t="s">
        <v>701</v>
      </c>
    </row>
    <row r="17" spans="1:6" x14ac:dyDescent="0.3">
      <c r="A17" s="1" t="s">
        <v>716</v>
      </c>
      <c r="B17" s="1" t="s">
        <v>266</v>
      </c>
      <c r="C17" s="2">
        <v>46159</v>
      </c>
      <c r="D17" s="2">
        <v>46167</v>
      </c>
      <c r="E17">
        <v>-1</v>
      </c>
      <c r="F17" s="1" t="s">
        <v>701</v>
      </c>
    </row>
    <row r="18" spans="1:6" x14ac:dyDescent="0.3">
      <c r="A18" s="1" t="s">
        <v>717</v>
      </c>
      <c r="B18" s="1" t="s">
        <v>268</v>
      </c>
      <c r="C18" s="2">
        <v>46064</v>
      </c>
      <c r="D18" s="2">
        <v>46067</v>
      </c>
      <c r="E18">
        <v>0</v>
      </c>
      <c r="F18" s="1" t="s">
        <v>703</v>
      </c>
    </row>
    <row r="19" spans="1:6" x14ac:dyDescent="0.3">
      <c r="A19" s="1" t="s">
        <v>718</v>
      </c>
      <c r="B19" s="1" t="s">
        <v>270</v>
      </c>
      <c r="C19" s="2">
        <v>45992</v>
      </c>
      <c r="D19" s="2">
        <v>46013</v>
      </c>
      <c r="E19">
        <v>3</v>
      </c>
      <c r="F19" s="1" t="s">
        <v>699</v>
      </c>
    </row>
    <row r="20" spans="1:6" x14ac:dyDescent="0.3">
      <c r="A20" s="1" t="s">
        <v>719</v>
      </c>
      <c r="B20" s="1" t="s">
        <v>272</v>
      </c>
      <c r="C20" s="2">
        <v>45956</v>
      </c>
      <c r="D20" s="2">
        <v>45973</v>
      </c>
      <c r="E20">
        <v>5</v>
      </c>
      <c r="F20" s="1" t="s">
        <v>699</v>
      </c>
    </row>
    <row r="21" spans="1:6" x14ac:dyDescent="0.3">
      <c r="A21" s="1" t="s">
        <v>720</v>
      </c>
      <c r="B21" s="1" t="s">
        <v>274</v>
      </c>
      <c r="C21" s="2">
        <v>46031</v>
      </c>
      <c r="D21" s="2">
        <v>46044</v>
      </c>
      <c r="E21">
        <v>2</v>
      </c>
      <c r="F21" s="1" t="s">
        <v>701</v>
      </c>
    </row>
    <row r="22" spans="1:6" x14ac:dyDescent="0.3">
      <c r="A22" s="1" t="s">
        <v>721</v>
      </c>
      <c r="B22" s="1" t="s">
        <v>276</v>
      </c>
      <c r="C22" s="2">
        <v>45855</v>
      </c>
      <c r="D22" s="2">
        <v>45862</v>
      </c>
      <c r="E22">
        <v>5</v>
      </c>
      <c r="F22" s="1" t="s">
        <v>701</v>
      </c>
    </row>
    <row r="23" spans="1:6" x14ac:dyDescent="0.3">
      <c r="A23" s="1" t="s">
        <v>722</v>
      </c>
      <c r="B23" s="1" t="s">
        <v>278</v>
      </c>
      <c r="C23" s="2">
        <v>46050</v>
      </c>
      <c r="D23" s="2">
        <v>46077</v>
      </c>
      <c r="E23">
        <v>8</v>
      </c>
      <c r="F23" s="1" t="s">
        <v>703</v>
      </c>
    </row>
    <row r="24" spans="1:6" x14ac:dyDescent="0.3">
      <c r="A24" s="1" t="s">
        <v>723</v>
      </c>
      <c r="B24" s="1" t="s">
        <v>280</v>
      </c>
      <c r="C24" s="2">
        <v>46088</v>
      </c>
      <c r="D24" s="2">
        <v>46108</v>
      </c>
      <c r="E24">
        <v>7</v>
      </c>
      <c r="F24" s="1" t="s">
        <v>703</v>
      </c>
    </row>
    <row r="25" spans="1:6" x14ac:dyDescent="0.3">
      <c r="A25" s="1" t="s">
        <v>724</v>
      </c>
      <c r="B25" s="1" t="s">
        <v>282</v>
      </c>
      <c r="C25" s="2">
        <v>45971</v>
      </c>
      <c r="D25" s="2">
        <v>45994</v>
      </c>
      <c r="E25">
        <v>7</v>
      </c>
      <c r="F25" s="1" t="s">
        <v>703</v>
      </c>
    </row>
    <row r="26" spans="1:6" x14ac:dyDescent="0.3">
      <c r="A26" s="1" t="s">
        <v>725</v>
      </c>
      <c r="B26" s="1" t="s">
        <v>284</v>
      </c>
      <c r="C26" s="2">
        <v>46067</v>
      </c>
      <c r="D26" s="2">
        <v>46092</v>
      </c>
      <c r="E26">
        <v>7</v>
      </c>
      <c r="F26" s="1" t="s">
        <v>699</v>
      </c>
    </row>
    <row r="27" spans="1:6" x14ac:dyDescent="0.3">
      <c r="A27" s="1" t="s">
        <v>726</v>
      </c>
      <c r="B27" s="1" t="s">
        <v>286</v>
      </c>
      <c r="C27" s="2">
        <v>46137</v>
      </c>
      <c r="D27" s="2">
        <v>46145</v>
      </c>
      <c r="E27">
        <v>3</v>
      </c>
      <c r="F27" s="1" t="s">
        <v>703</v>
      </c>
    </row>
    <row r="28" spans="1:6" x14ac:dyDescent="0.3">
      <c r="A28" s="1" t="s">
        <v>727</v>
      </c>
      <c r="B28" s="1" t="s">
        <v>288</v>
      </c>
      <c r="C28" s="2">
        <v>45994</v>
      </c>
      <c r="D28" s="2">
        <v>46018</v>
      </c>
      <c r="E28">
        <v>5</v>
      </c>
      <c r="F28" s="1" t="s">
        <v>701</v>
      </c>
    </row>
    <row r="29" spans="1:6" x14ac:dyDescent="0.3">
      <c r="A29" s="1" t="s">
        <v>728</v>
      </c>
      <c r="B29" s="1" t="s">
        <v>290</v>
      </c>
      <c r="C29" s="2">
        <v>45905</v>
      </c>
      <c r="D29" s="2">
        <v>45917</v>
      </c>
      <c r="E29">
        <v>0</v>
      </c>
      <c r="F29" s="1" t="s">
        <v>701</v>
      </c>
    </row>
    <row r="30" spans="1:6" x14ac:dyDescent="0.3">
      <c r="A30" s="1" t="s">
        <v>729</v>
      </c>
      <c r="B30" s="1" t="s">
        <v>292</v>
      </c>
      <c r="C30" s="2">
        <v>45865</v>
      </c>
      <c r="D30" s="2">
        <v>45885</v>
      </c>
      <c r="E30">
        <v>2</v>
      </c>
      <c r="F30" s="1" t="s">
        <v>701</v>
      </c>
    </row>
    <row r="31" spans="1:6" x14ac:dyDescent="0.3">
      <c r="A31" s="1" t="s">
        <v>730</v>
      </c>
      <c r="B31" s="1" t="s">
        <v>294</v>
      </c>
      <c r="C31" s="2">
        <v>45952</v>
      </c>
      <c r="D31" s="2">
        <v>45974</v>
      </c>
      <c r="E31">
        <v>7</v>
      </c>
      <c r="F31" s="1" t="s">
        <v>699</v>
      </c>
    </row>
    <row r="32" spans="1:6" x14ac:dyDescent="0.3">
      <c r="A32" s="1" t="s">
        <v>731</v>
      </c>
      <c r="B32" s="1" t="s">
        <v>296</v>
      </c>
      <c r="C32" s="2">
        <v>45922</v>
      </c>
      <c r="D32" s="2">
        <v>45936</v>
      </c>
      <c r="E32">
        <v>8</v>
      </c>
      <c r="F32" s="1" t="s">
        <v>699</v>
      </c>
    </row>
    <row r="33" spans="1:6" x14ac:dyDescent="0.3">
      <c r="A33" s="1" t="s">
        <v>732</v>
      </c>
      <c r="B33" s="1" t="s">
        <v>298</v>
      </c>
      <c r="C33" s="2">
        <v>46061</v>
      </c>
      <c r="D33" s="2">
        <v>46079</v>
      </c>
      <c r="E33">
        <v>3</v>
      </c>
      <c r="F33" s="1" t="s">
        <v>699</v>
      </c>
    </row>
    <row r="34" spans="1:6" x14ac:dyDescent="0.3">
      <c r="A34" s="1" t="s">
        <v>733</v>
      </c>
      <c r="B34" s="1" t="s">
        <v>300</v>
      </c>
      <c r="C34" s="2">
        <v>46034</v>
      </c>
      <c r="D34" s="2">
        <v>46041</v>
      </c>
      <c r="E34">
        <v>1</v>
      </c>
      <c r="F34" s="1" t="s">
        <v>703</v>
      </c>
    </row>
    <row r="35" spans="1:6" x14ac:dyDescent="0.3">
      <c r="A35" s="1" t="s">
        <v>734</v>
      </c>
      <c r="B35" s="1" t="s">
        <v>302</v>
      </c>
      <c r="C35" s="2">
        <v>45925</v>
      </c>
      <c r="D35" s="2">
        <v>45930</v>
      </c>
      <c r="E35">
        <v>-1</v>
      </c>
      <c r="F35" s="1" t="s">
        <v>699</v>
      </c>
    </row>
    <row r="36" spans="1:6" x14ac:dyDescent="0.3">
      <c r="A36" s="1" t="s">
        <v>735</v>
      </c>
      <c r="B36" s="1" t="s">
        <v>304</v>
      </c>
      <c r="C36" s="2">
        <v>46111</v>
      </c>
      <c r="D36" s="2">
        <v>46117</v>
      </c>
      <c r="E36">
        <v>3</v>
      </c>
      <c r="F36" s="1" t="s">
        <v>701</v>
      </c>
    </row>
    <row r="37" spans="1:6" x14ac:dyDescent="0.3">
      <c r="A37" s="1" t="s">
        <v>736</v>
      </c>
      <c r="B37" s="1" t="s">
        <v>306</v>
      </c>
      <c r="C37" s="2">
        <v>46032</v>
      </c>
      <c r="D37" s="2">
        <v>46037</v>
      </c>
      <c r="E37">
        <v>0</v>
      </c>
      <c r="F37" s="1" t="s">
        <v>701</v>
      </c>
    </row>
    <row r="38" spans="1:6" x14ac:dyDescent="0.3">
      <c r="A38" s="1" t="s">
        <v>737</v>
      </c>
      <c r="B38" s="1" t="s">
        <v>308</v>
      </c>
      <c r="C38" s="2">
        <v>46148</v>
      </c>
      <c r="D38" s="2">
        <v>46158</v>
      </c>
      <c r="E38">
        <v>4</v>
      </c>
      <c r="F38" s="1" t="s">
        <v>703</v>
      </c>
    </row>
    <row r="39" spans="1:6" x14ac:dyDescent="0.3">
      <c r="A39" s="1" t="s">
        <v>738</v>
      </c>
      <c r="B39" s="1" t="s">
        <v>310</v>
      </c>
      <c r="C39" s="2">
        <v>45955</v>
      </c>
      <c r="D39" s="2">
        <v>45964</v>
      </c>
      <c r="E39">
        <v>7</v>
      </c>
      <c r="F39" s="1" t="s">
        <v>699</v>
      </c>
    </row>
    <row r="40" spans="1:6" x14ac:dyDescent="0.3">
      <c r="A40" s="1" t="s">
        <v>739</v>
      </c>
      <c r="B40" s="1" t="s">
        <v>312</v>
      </c>
      <c r="C40" s="2">
        <v>46077</v>
      </c>
      <c r="D40" s="2">
        <v>46099</v>
      </c>
      <c r="E40">
        <v>7</v>
      </c>
      <c r="F40" s="1" t="s">
        <v>703</v>
      </c>
    </row>
    <row r="41" spans="1:6" x14ac:dyDescent="0.3">
      <c r="A41" s="1" t="s">
        <v>740</v>
      </c>
      <c r="B41" s="1" t="s">
        <v>314</v>
      </c>
      <c r="C41" s="2">
        <v>46047</v>
      </c>
      <c r="D41" s="2">
        <v>46056</v>
      </c>
      <c r="E41">
        <v>4</v>
      </c>
      <c r="F41" s="1" t="s">
        <v>699</v>
      </c>
    </row>
    <row r="42" spans="1:6" x14ac:dyDescent="0.3">
      <c r="A42" s="1" t="s">
        <v>741</v>
      </c>
      <c r="B42" s="1" t="s">
        <v>316</v>
      </c>
      <c r="C42" s="2">
        <v>46027</v>
      </c>
      <c r="D42" s="2">
        <v>46048</v>
      </c>
      <c r="E42">
        <v>5</v>
      </c>
      <c r="F42" s="1" t="s">
        <v>701</v>
      </c>
    </row>
    <row r="43" spans="1:6" x14ac:dyDescent="0.3">
      <c r="A43" s="1" t="s">
        <v>742</v>
      </c>
      <c r="B43" s="1" t="s">
        <v>318</v>
      </c>
      <c r="C43" s="2">
        <v>46164</v>
      </c>
      <c r="D43" s="2">
        <v>46178</v>
      </c>
      <c r="E43">
        <v>6</v>
      </c>
      <c r="F43" s="1" t="s">
        <v>701</v>
      </c>
    </row>
    <row r="44" spans="1:6" x14ac:dyDescent="0.3">
      <c r="A44" s="1" t="s">
        <v>743</v>
      </c>
      <c r="B44" s="1" t="s">
        <v>320</v>
      </c>
      <c r="C44" s="2">
        <v>46062</v>
      </c>
      <c r="D44" s="2">
        <v>46080</v>
      </c>
      <c r="E44">
        <v>8</v>
      </c>
      <c r="F44" s="1" t="s">
        <v>699</v>
      </c>
    </row>
    <row r="45" spans="1:6" x14ac:dyDescent="0.3">
      <c r="A45" s="1" t="s">
        <v>744</v>
      </c>
      <c r="B45" s="1" t="s">
        <v>322</v>
      </c>
      <c r="C45" s="2">
        <v>46116</v>
      </c>
      <c r="D45" s="2">
        <v>46141</v>
      </c>
      <c r="E45">
        <v>6</v>
      </c>
      <c r="F45" s="1" t="s">
        <v>699</v>
      </c>
    </row>
    <row r="46" spans="1:6" x14ac:dyDescent="0.3">
      <c r="A46" s="1" t="s">
        <v>745</v>
      </c>
      <c r="B46" s="1" t="s">
        <v>324</v>
      </c>
      <c r="C46" s="2">
        <v>45979</v>
      </c>
      <c r="D46" s="2">
        <v>45991</v>
      </c>
      <c r="E46">
        <v>5</v>
      </c>
      <c r="F46" s="1" t="s">
        <v>703</v>
      </c>
    </row>
    <row r="47" spans="1:6" x14ac:dyDescent="0.3">
      <c r="A47" s="1" t="s">
        <v>746</v>
      </c>
      <c r="B47" s="1" t="s">
        <v>326</v>
      </c>
      <c r="C47" s="2">
        <v>46043</v>
      </c>
      <c r="D47" s="2">
        <v>46058</v>
      </c>
      <c r="E47">
        <v>0</v>
      </c>
      <c r="F47" s="1" t="s">
        <v>699</v>
      </c>
    </row>
    <row r="48" spans="1:6" x14ac:dyDescent="0.3">
      <c r="A48" s="1" t="s">
        <v>747</v>
      </c>
      <c r="B48" s="1" t="s">
        <v>328</v>
      </c>
      <c r="C48" s="2">
        <v>45947</v>
      </c>
      <c r="D48" s="2">
        <v>45968</v>
      </c>
      <c r="E48">
        <v>3</v>
      </c>
      <c r="F48" s="1" t="s">
        <v>703</v>
      </c>
    </row>
    <row r="49" spans="1:6" x14ac:dyDescent="0.3">
      <c r="A49" s="1" t="s">
        <v>748</v>
      </c>
      <c r="B49" s="1" t="s">
        <v>330</v>
      </c>
      <c r="C49" s="2">
        <v>46205</v>
      </c>
      <c r="D49" s="2">
        <v>46215</v>
      </c>
      <c r="E49">
        <v>7</v>
      </c>
      <c r="F49" s="1" t="s">
        <v>699</v>
      </c>
    </row>
    <row r="50" spans="1:6" x14ac:dyDescent="0.3">
      <c r="A50" s="1" t="s">
        <v>749</v>
      </c>
      <c r="B50" s="1" t="s">
        <v>332</v>
      </c>
      <c r="C50" s="2">
        <v>46039</v>
      </c>
      <c r="D50" s="2">
        <v>46061</v>
      </c>
      <c r="E50">
        <v>3</v>
      </c>
      <c r="F50" s="1" t="s">
        <v>699</v>
      </c>
    </row>
    <row r="51" spans="1:6" x14ac:dyDescent="0.3">
      <c r="A51" s="1" t="s">
        <v>750</v>
      </c>
      <c r="B51" s="1" t="s">
        <v>334</v>
      </c>
      <c r="C51" s="2">
        <v>45898</v>
      </c>
      <c r="D51" s="2">
        <v>45915</v>
      </c>
      <c r="E51">
        <v>5</v>
      </c>
      <c r="F51" s="1" t="s">
        <v>699</v>
      </c>
    </row>
    <row r="52" spans="1:6" x14ac:dyDescent="0.3">
      <c r="A52" s="1" t="s">
        <v>751</v>
      </c>
      <c r="B52" s="1" t="s">
        <v>336</v>
      </c>
      <c r="C52" s="2">
        <v>46001</v>
      </c>
      <c r="D52" s="2">
        <v>46013</v>
      </c>
      <c r="E52">
        <v>1</v>
      </c>
      <c r="F52" s="1" t="s">
        <v>703</v>
      </c>
    </row>
    <row r="53" spans="1:6" x14ac:dyDescent="0.3">
      <c r="A53" s="1" t="s">
        <v>752</v>
      </c>
      <c r="B53" s="1" t="s">
        <v>338</v>
      </c>
      <c r="C53" s="2">
        <v>45885</v>
      </c>
      <c r="D53" s="2">
        <v>45905</v>
      </c>
      <c r="E53">
        <v>6</v>
      </c>
      <c r="F53" s="1" t="s">
        <v>701</v>
      </c>
    </row>
    <row r="54" spans="1:6" x14ac:dyDescent="0.3">
      <c r="A54" s="1" t="s">
        <v>753</v>
      </c>
      <c r="B54" s="1" t="s">
        <v>340</v>
      </c>
      <c r="C54" s="2">
        <v>45925</v>
      </c>
      <c r="D54" s="2">
        <v>45947</v>
      </c>
      <c r="E54">
        <v>8</v>
      </c>
      <c r="F54" s="1" t="s">
        <v>703</v>
      </c>
    </row>
    <row r="55" spans="1:6" x14ac:dyDescent="0.3">
      <c r="A55" s="1" t="s">
        <v>754</v>
      </c>
      <c r="B55" s="1" t="s">
        <v>342</v>
      </c>
      <c r="C55" s="2">
        <v>46143</v>
      </c>
      <c r="D55" s="2">
        <v>46166</v>
      </c>
      <c r="E55">
        <v>4</v>
      </c>
      <c r="F55" s="1" t="s">
        <v>701</v>
      </c>
    </row>
    <row r="56" spans="1:6" x14ac:dyDescent="0.3">
      <c r="A56" s="1" t="s">
        <v>755</v>
      </c>
      <c r="B56" s="1" t="s">
        <v>344</v>
      </c>
      <c r="C56" s="2">
        <v>46192</v>
      </c>
      <c r="D56" s="2">
        <v>46209</v>
      </c>
      <c r="E56">
        <v>5</v>
      </c>
      <c r="F56" s="1" t="s">
        <v>703</v>
      </c>
    </row>
    <row r="57" spans="1:6" x14ac:dyDescent="0.3">
      <c r="A57" s="1" t="s">
        <v>756</v>
      </c>
      <c r="B57" s="1" t="s">
        <v>346</v>
      </c>
      <c r="C57" s="2">
        <v>46177</v>
      </c>
      <c r="D57" s="2">
        <v>46200</v>
      </c>
      <c r="E57">
        <v>5</v>
      </c>
      <c r="F57" s="1" t="s">
        <v>703</v>
      </c>
    </row>
    <row r="58" spans="1:6" x14ac:dyDescent="0.3">
      <c r="A58" s="1" t="s">
        <v>757</v>
      </c>
      <c r="B58" s="1" t="s">
        <v>348</v>
      </c>
      <c r="C58" s="2">
        <v>45920</v>
      </c>
      <c r="D58" s="2">
        <v>45931</v>
      </c>
      <c r="E58">
        <v>0</v>
      </c>
      <c r="F58" s="1" t="s">
        <v>699</v>
      </c>
    </row>
    <row r="59" spans="1:6" x14ac:dyDescent="0.3">
      <c r="A59" s="1" t="s">
        <v>758</v>
      </c>
      <c r="B59" s="1" t="s">
        <v>350</v>
      </c>
      <c r="C59" s="2">
        <v>45962</v>
      </c>
      <c r="D59" s="2">
        <v>45973</v>
      </c>
      <c r="E59">
        <v>7</v>
      </c>
      <c r="F59" s="1" t="s">
        <v>699</v>
      </c>
    </row>
    <row r="60" spans="1:6" x14ac:dyDescent="0.3">
      <c r="A60" s="1" t="s">
        <v>759</v>
      </c>
      <c r="B60" s="1" t="s">
        <v>352</v>
      </c>
      <c r="C60" s="2">
        <v>45973</v>
      </c>
      <c r="D60" s="2">
        <v>45982</v>
      </c>
      <c r="E60">
        <v>1</v>
      </c>
      <c r="F60" s="1" t="s">
        <v>703</v>
      </c>
    </row>
    <row r="61" spans="1:6" x14ac:dyDescent="0.3">
      <c r="A61" s="1" t="s">
        <v>760</v>
      </c>
      <c r="B61" s="1" t="s">
        <v>354</v>
      </c>
      <c r="C61" s="2">
        <v>46059</v>
      </c>
      <c r="D61" s="2">
        <v>46061</v>
      </c>
      <c r="E61">
        <v>-2</v>
      </c>
      <c r="F61" s="1" t="s">
        <v>703</v>
      </c>
    </row>
    <row r="62" spans="1:6" x14ac:dyDescent="0.3">
      <c r="A62" s="1" t="s">
        <v>761</v>
      </c>
      <c r="B62" s="1" t="s">
        <v>356</v>
      </c>
      <c r="C62" s="2">
        <v>45983</v>
      </c>
      <c r="D62" s="2">
        <v>45998</v>
      </c>
      <c r="E62">
        <v>1</v>
      </c>
      <c r="F62" s="1" t="s">
        <v>701</v>
      </c>
    </row>
    <row r="63" spans="1:6" x14ac:dyDescent="0.3">
      <c r="A63" s="1" t="s">
        <v>762</v>
      </c>
      <c r="B63" s="1" t="s">
        <v>358</v>
      </c>
      <c r="C63" s="2">
        <v>45866</v>
      </c>
      <c r="D63" s="2">
        <v>45870</v>
      </c>
      <c r="E63">
        <v>2</v>
      </c>
      <c r="F63" s="1" t="s">
        <v>699</v>
      </c>
    </row>
    <row r="64" spans="1:6" x14ac:dyDescent="0.3">
      <c r="A64" s="1" t="s">
        <v>763</v>
      </c>
      <c r="B64" s="1" t="s">
        <v>360</v>
      </c>
      <c r="C64" s="2">
        <v>46151</v>
      </c>
      <c r="D64" s="2">
        <v>46174</v>
      </c>
      <c r="E64">
        <v>5</v>
      </c>
      <c r="F64" s="1" t="s">
        <v>701</v>
      </c>
    </row>
    <row r="65" spans="1:6" x14ac:dyDescent="0.3">
      <c r="A65" s="1" t="s">
        <v>764</v>
      </c>
      <c r="B65" s="1" t="s">
        <v>362</v>
      </c>
      <c r="C65" s="2">
        <v>46147</v>
      </c>
      <c r="D65" s="2">
        <v>46157</v>
      </c>
      <c r="E65">
        <v>5</v>
      </c>
      <c r="F65" s="1" t="s">
        <v>701</v>
      </c>
    </row>
    <row r="66" spans="1:6" x14ac:dyDescent="0.3">
      <c r="A66" s="1" t="s">
        <v>765</v>
      </c>
      <c r="B66" s="1" t="s">
        <v>364</v>
      </c>
      <c r="C66" s="2">
        <v>46151</v>
      </c>
      <c r="D66" s="2">
        <v>46176</v>
      </c>
      <c r="E66">
        <v>6</v>
      </c>
      <c r="F66" s="1" t="s">
        <v>699</v>
      </c>
    </row>
    <row r="67" spans="1:6" x14ac:dyDescent="0.3">
      <c r="A67" s="1" t="s">
        <v>766</v>
      </c>
      <c r="B67" s="1" t="s">
        <v>366</v>
      </c>
      <c r="C67" s="2">
        <v>46033</v>
      </c>
      <c r="D67" s="2">
        <v>46058</v>
      </c>
      <c r="E67">
        <v>7</v>
      </c>
      <c r="F67" s="1" t="s">
        <v>699</v>
      </c>
    </row>
    <row r="68" spans="1:6" x14ac:dyDescent="0.3">
      <c r="A68" s="1" t="s">
        <v>767</v>
      </c>
      <c r="B68" s="1" t="s">
        <v>368</v>
      </c>
      <c r="C68" s="2">
        <v>45858</v>
      </c>
      <c r="D68" s="2">
        <v>45877</v>
      </c>
      <c r="E68">
        <v>2</v>
      </c>
      <c r="F68" s="1" t="s">
        <v>701</v>
      </c>
    </row>
    <row r="69" spans="1:6" x14ac:dyDescent="0.3">
      <c r="A69" s="1" t="s">
        <v>768</v>
      </c>
      <c r="B69" s="1" t="s">
        <v>370</v>
      </c>
      <c r="C69" s="2">
        <v>45915</v>
      </c>
      <c r="D69" s="2">
        <v>45928</v>
      </c>
      <c r="E69">
        <v>3</v>
      </c>
      <c r="F69" s="1" t="s">
        <v>701</v>
      </c>
    </row>
    <row r="70" spans="1:6" x14ac:dyDescent="0.3">
      <c r="A70" s="1" t="s">
        <v>769</v>
      </c>
      <c r="B70" s="1" t="s">
        <v>372</v>
      </c>
      <c r="C70" s="2">
        <v>45862</v>
      </c>
      <c r="D70" s="2">
        <v>45876</v>
      </c>
      <c r="E70">
        <v>-2</v>
      </c>
      <c r="F70" s="1" t="s">
        <v>701</v>
      </c>
    </row>
    <row r="71" spans="1:6" x14ac:dyDescent="0.3">
      <c r="A71" s="1" t="s">
        <v>770</v>
      </c>
      <c r="B71" s="1" t="s">
        <v>374</v>
      </c>
      <c r="C71" s="2">
        <v>46010</v>
      </c>
      <c r="D71" s="2">
        <v>46027</v>
      </c>
      <c r="E71">
        <v>5</v>
      </c>
      <c r="F71" s="1" t="s">
        <v>701</v>
      </c>
    </row>
    <row r="72" spans="1:6" x14ac:dyDescent="0.3">
      <c r="A72" s="1" t="s">
        <v>771</v>
      </c>
      <c r="B72" s="1" t="s">
        <v>376</v>
      </c>
      <c r="C72" s="2">
        <v>46185</v>
      </c>
      <c r="D72" s="2">
        <v>46195</v>
      </c>
      <c r="E72">
        <v>1</v>
      </c>
      <c r="F72" s="1" t="s">
        <v>703</v>
      </c>
    </row>
    <row r="73" spans="1:6" x14ac:dyDescent="0.3">
      <c r="A73" s="1" t="s">
        <v>772</v>
      </c>
      <c r="B73" s="1" t="s">
        <v>378</v>
      </c>
      <c r="C73" s="2">
        <v>45987</v>
      </c>
      <c r="D73" s="2">
        <v>45990</v>
      </c>
      <c r="E73">
        <v>-1</v>
      </c>
      <c r="F73" s="1" t="s">
        <v>701</v>
      </c>
    </row>
    <row r="74" spans="1:6" x14ac:dyDescent="0.3">
      <c r="A74" s="1" t="s">
        <v>773</v>
      </c>
      <c r="B74" s="1" t="s">
        <v>380</v>
      </c>
      <c r="C74" s="2">
        <v>46086</v>
      </c>
      <c r="D74" s="2">
        <v>46109</v>
      </c>
      <c r="E74">
        <v>8</v>
      </c>
      <c r="F74" s="1" t="s">
        <v>699</v>
      </c>
    </row>
    <row r="75" spans="1:6" x14ac:dyDescent="0.3">
      <c r="A75" s="1" t="s">
        <v>774</v>
      </c>
      <c r="B75" s="1" t="s">
        <v>382</v>
      </c>
      <c r="C75" s="2">
        <v>46201</v>
      </c>
      <c r="D75" s="2">
        <v>46205</v>
      </c>
      <c r="E75">
        <v>2</v>
      </c>
      <c r="F75" s="1" t="s">
        <v>699</v>
      </c>
    </row>
    <row r="76" spans="1:6" x14ac:dyDescent="0.3">
      <c r="A76" s="1" t="s">
        <v>775</v>
      </c>
      <c r="B76" s="1" t="s">
        <v>384</v>
      </c>
      <c r="C76" s="2">
        <v>46191</v>
      </c>
      <c r="D76" s="2">
        <v>46207</v>
      </c>
      <c r="E76">
        <v>5</v>
      </c>
      <c r="F76" s="1" t="s">
        <v>703</v>
      </c>
    </row>
    <row r="77" spans="1:6" x14ac:dyDescent="0.3">
      <c r="A77" s="1" t="s">
        <v>776</v>
      </c>
      <c r="B77" s="1" t="s">
        <v>386</v>
      </c>
      <c r="C77" s="2">
        <v>46135</v>
      </c>
      <c r="D77" s="2">
        <v>46157</v>
      </c>
      <c r="E77">
        <v>3</v>
      </c>
      <c r="F77" s="1" t="s">
        <v>699</v>
      </c>
    </row>
    <row r="78" spans="1:6" x14ac:dyDescent="0.3">
      <c r="A78" s="1" t="s">
        <v>777</v>
      </c>
      <c r="B78" s="1" t="s">
        <v>388</v>
      </c>
      <c r="C78" s="2">
        <v>45926</v>
      </c>
      <c r="D78" s="2">
        <v>45946</v>
      </c>
      <c r="E78">
        <v>5</v>
      </c>
      <c r="F78" s="1" t="s">
        <v>699</v>
      </c>
    </row>
    <row r="79" spans="1:6" x14ac:dyDescent="0.3">
      <c r="A79" s="1" t="s">
        <v>778</v>
      </c>
      <c r="B79" s="1" t="s">
        <v>390</v>
      </c>
      <c r="C79" s="2">
        <v>46088</v>
      </c>
      <c r="D79" s="2">
        <v>46103</v>
      </c>
      <c r="E79">
        <v>1</v>
      </c>
      <c r="F79" s="1" t="s">
        <v>699</v>
      </c>
    </row>
    <row r="80" spans="1:6" x14ac:dyDescent="0.3">
      <c r="A80" s="1" t="s">
        <v>779</v>
      </c>
      <c r="B80" s="1" t="s">
        <v>392</v>
      </c>
      <c r="C80" s="2">
        <v>45988</v>
      </c>
      <c r="D80" s="2">
        <v>45997</v>
      </c>
      <c r="E80">
        <v>7</v>
      </c>
      <c r="F80" s="1" t="s">
        <v>701</v>
      </c>
    </row>
    <row r="81" spans="1:6" x14ac:dyDescent="0.3">
      <c r="A81" s="1" t="s">
        <v>780</v>
      </c>
      <c r="B81" s="1" t="s">
        <v>394</v>
      </c>
      <c r="C81" s="2">
        <v>45883</v>
      </c>
      <c r="D81" s="2">
        <v>45890</v>
      </c>
      <c r="E81">
        <v>3</v>
      </c>
      <c r="F81" s="1" t="s">
        <v>701</v>
      </c>
    </row>
    <row r="82" spans="1:6" x14ac:dyDescent="0.3">
      <c r="A82" s="1" t="s">
        <v>781</v>
      </c>
      <c r="B82" s="1" t="s">
        <v>396</v>
      </c>
      <c r="C82" s="2">
        <v>46029</v>
      </c>
      <c r="D82" s="2">
        <v>46046</v>
      </c>
      <c r="E82">
        <v>7</v>
      </c>
      <c r="F82" s="1" t="s">
        <v>701</v>
      </c>
    </row>
    <row r="83" spans="1:6" x14ac:dyDescent="0.3">
      <c r="A83" s="1" t="s">
        <v>782</v>
      </c>
      <c r="B83" s="1" t="s">
        <v>398</v>
      </c>
      <c r="C83" s="2">
        <v>46164</v>
      </c>
      <c r="D83" s="2">
        <v>46180</v>
      </c>
      <c r="E83">
        <v>4</v>
      </c>
      <c r="F83" s="1" t="s">
        <v>699</v>
      </c>
    </row>
    <row r="84" spans="1:6" x14ac:dyDescent="0.3">
      <c r="A84" s="1" t="s">
        <v>783</v>
      </c>
      <c r="B84" s="1" t="s">
        <v>400</v>
      </c>
      <c r="C84" s="2">
        <v>46149</v>
      </c>
      <c r="D84" s="2">
        <v>46166</v>
      </c>
      <c r="E84">
        <v>7</v>
      </c>
      <c r="F84" s="1" t="s">
        <v>699</v>
      </c>
    </row>
    <row r="85" spans="1:6" x14ac:dyDescent="0.3">
      <c r="A85" s="1" t="s">
        <v>784</v>
      </c>
      <c r="B85" s="1" t="s">
        <v>402</v>
      </c>
      <c r="C85" s="2">
        <v>46141</v>
      </c>
      <c r="D85" s="2">
        <v>46145</v>
      </c>
      <c r="E85">
        <v>1</v>
      </c>
      <c r="F85" s="1" t="s">
        <v>699</v>
      </c>
    </row>
    <row r="86" spans="1:6" x14ac:dyDescent="0.3">
      <c r="A86" s="1" t="s">
        <v>785</v>
      </c>
      <c r="B86" s="1" t="s">
        <v>404</v>
      </c>
      <c r="C86" s="2">
        <v>46066</v>
      </c>
      <c r="D86" s="2">
        <v>46067</v>
      </c>
      <c r="E86">
        <v>-2</v>
      </c>
      <c r="F86" s="1" t="s">
        <v>701</v>
      </c>
    </row>
    <row r="87" spans="1:6" x14ac:dyDescent="0.3">
      <c r="A87" s="1" t="s">
        <v>786</v>
      </c>
      <c r="B87" s="1" t="s">
        <v>406</v>
      </c>
      <c r="C87" s="2">
        <v>46176</v>
      </c>
      <c r="D87" s="2">
        <v>46185</v>
      </c>
      <c r="E87">
        <v>3</v>
      </c>
      <c r="F87" s="1" t="s">
        <v>701</v>
      </c>
    </row>
    <row r="88" spans="1:6" x14ac:dyDescent="0.3">
      <c r="A88" s="1" t="s">
        <v>787</v>
      </c>
      <c r="B88" s="1" t="s">
        <v>408</v>
      </c>
      <c r="C88" s="2">
        <v>46056</v>
      </c>
      <c r="D88" s="2">
        <v>46066</v>
      </c>
      <c r="E88">
        <v>2</v>
      </c>
      <c r="F88" s="1" t="s">
        <v>701</v>
      </c>
    </row>
    <row r="89" spans="1:6" x14ac:dyDescent="0.3">
      <c r="A89" s="1" t="s">
        <v>788</v>
      </c>
      <c r="B89" s="1" t="s">
        <v>410</v>
      </c>
      <c r="C89" s="2">
        <v>45927</v>
      </c>
      <c r="D89" s="2">
        <v>45940</v>
      </c>
      <c r="E89">
        <v>6</v>
      </c>
      <c r="F89" s="1" t="s">
        <v>699</v>
      </c>
    </row>
    <row r="90" spans="1:6" x14ac:dyDescent="0.3">
      <c r="A90" s="1" t="s">
        <v>789</v>
      </c>
      <c r="B90" s="1" t="s">
        <v>412</v>
      </c>
      <c r="C90" s="2">
        <v>46060</v>
      </c>
      <c r="D90" s="2">
        <v>46070</v>
      </c>
      <c r="E90">
        <v>3</v>
      </c>
      <c r="F90" s="1" t="s">
        <v>701</v>
      </c>
    </row>
    <row r="91" spans="1:6" x14ac:dyDescent="0.3">
      <c r="A91" s="1" t="s">
        <v>790</v>
      </c>
      <c r="B91" s="1" t="s">
        <v>414</v>
      </c>
      <c r="C91" s="2">
        <v>45994</v>
      </c>
      <c r="D91" s="2">
        <v>46007</v>
      </c>
      <c r="E91">
        <v>2</v>
      </c>
      <c r="F91" s="1" t="s">
        <v>703</v>
      </c>
    </row>
    <row r="92" spans="1:6" x14ac:dyDescent="0.3">
      <c r="A92" s="1" t="s">
        <v>791</v>
      </c>
      <c r="B92" s="1" t="s">
        <v>416</v>
      </c>
      <c r="C92" s="2">
        <v>45854</v>
      </c>
      <c r="D92" s="2">
        <v>45869</v>
      </c>
      <c r="E92">
        <v>7</v>
      </c>
      <c r="F92" s="1" t="s">
        <v>703</v>
      </c>
    </row>
    <row r="93" spans="1:6" x14ac:dyDescent="0.3">
      <c r="A93" s="1" t="s">
        <v>792</v>
      </c>
      <c r="B93" s="1" t="s">
        <v>418</v>
      </c>
      <c r="C93" s="2">
        <v>46134</v>
      </c>
      <c r="D93" s="2">
        <v>46149</v>
      </c>
      <c r="E93">
        <v>6</v>
      </c>
      <c r="F93" s="1" t="s">
        <v>701</v>
      </c>
    </row>
    <row r="94" spans="1:6" x14ac:dyDescent="0.3">
      <c r="A94" s="1" t="s">
        <v>793</v>
      </c>
      <c r="B94" s="1" t="s">
        <v>420</v>
      </c>
      <c r="C94" s="2">
        <v>46049</v>
      </c>
      <c r="D94" s="2">
        <v>46053</v>
      </c>
      <c r="E94">
        <v>-1</v>
      </c>
      <c r="F94" s="1" t="s">
        <v>699</v>
      </c>
    </row>
    <row r="95" spans="1:6" x14ac:dyDescent="0.3">
      <c r="A95" s="1" t="s">
        <v>794</v>
      </c>
      <c r="B95" s="1" t="s">
        <v>422</v>
      </c>
      <c r="C95" s="2">
        <v>46004</v>
      </c>
      <c r="D95" s="2">
        <v>46021</v>
      </c>
      <c r="E95">
        <v>4</v>
      </c>
      <c r="F95" s="1" t="s">
        <v>699</v>
      </c>
    </row>
    <row r="96" spans="1:6" x14ac:dyDescent="0.3">
      <c r="A96" s="1" t="s">
        <v>795</v>
      </c>
      <c r="B96" s="1" t="s">
        <v>424</v>
      </c>
      <c r="C96" s="2">
        <v>46043</v>
      </c>
      <c r="D96" s="2">
        <v>46060</v>
      </c>
      <c r="E96">
        <v>2</v>
      </c>
      <c r="F96" s="1" t="s">
        <v>701</v>
      </c>
    </row>
    <row r="97" spans="1:6" x14ac:dyDescent="0.3">
      <c r="A97" s="1" t="s">
        <v>796</v>
      </c>
      <c r="B97" s="1" t="s">
        <v>426</v>
      </c>
      <c r="C97" s="2">
        <v>45916</v>
      </c>
      <c r="D97" s="2">
        <v>45932</v>
      </c>
      <c r="E97">
        <v>0</v>
      </c>
      <c r="F97" s="1" t="s">
        <v>701</v>
      </c>
    </row>
    <row r="98" spans="1:6" x14ac:dyDescent="0.3">
      <c r="A98" s="1" t="s">
        <v>797</v>
      </c>
      <c r="B98" s="1" t="s">
        <v>428</v>
      </c>
      <c r="C98" s="2">
        <v>46175</v>
      </c>
      <c r="D98" s="2">
        <v>46185</v>
      </c>
      <c r="E98">
        <v>0</v>
      </c>
      <c r="F98" s="1" t="s">
        <v>699</v>
      </c>
    </row>
    <row r="99" spans="1:6" x14ac:dyDescent="0.3">
      <c r="A99" s="1" t="s">
        <v>798</v>
      </c>
      <c r="B99" s="1" t="s">
        <v>430</v>
      </c>
      <c r="C99" s="2">
        <v>46183</v>
      </c>
      <c r="D99" s="2">
        <v>46198</v>
      </c>
      <c r="E99">
        <v>0</v>
      </c>
      <c r="F99" s="1" t="s">
        <v>701</v>
      </c>
    </row>
    <row r="100" spans="1:6" x14ac:dyDescent="0.3">
      <c r="A100" s="1" t="s">
        <v>799</v>
      </c>
      <c r="B100" s="1" t="s">
        <v>432</v>
      </c>
      <c r="C100" s="2">
        <v>45879</v>
      </c>
      <c r="D100" s="2">
        <v>45886</v>
      </c>
      <c r="E100">
        <v>3</v>
      </c>
      <c r="F100" s="1" t="s">
        <v>699</v>
      </c>
    </row>
    <row r="101" spans="1:6" x14ac:dyDescent="0.3">
      <c r="A101" s="1" t="s">
        <v>800</v>
      </c>
      <c r="B101" s="1" t="s">
        <v>434</v>
      </c>
      <c r="C101" s="2">
        <v>46116</v>
      </c>
      <c r="D101" s="2">
        <v>46138</v>
      </c>
      <c r="E101">
        <v>8</v>
      </c>
      <c r="F101" s="1" t="s">
        <v>703</v>
      </c>
    </row>
    <row r="102" spans="1:6" x14ac:dyDescent="0.3">
      <c r="A102" s="1" t="s">
        <v>801</v>
      </c>
      <c r="B102" s="1" t="s">
        <v>436</v>
      </c>
      <c r="C102" s="2">
        <v>46171</v>
      </c>
      <c r="D102" s="2">
        <v>46183</v>
      </c>
      <c r="E102">
        <v>5</v>
      </c>
      <c r="F102" s="1" t="s">
        <v>699</v>
      </c>
    </row>
    <row r="103" spans="1:6" x14ac:dyDescent="0.3">
      <c r="A103" s="1" t="s">
        <v>802</v>
      </c>
      <c r="B103" s="1" t="s">
        <v>438</v>
      </c>
      <c r="C103" s="2">
        <v>46180</v>
      </c>
      <c r="D103" s="2">
        <v>46199</v>
      </c>
      <c r="E103">
        <v>7</v>
      </c>
      <c r="F103" s="1" t="s">
        <v>701</v>
      </c>
    </row>
    <row r="104" spans="1:6" x14ac:dyDescent="0.3">
      <c r="A104" s="1" t="s">
        <v>803</v>
      </c>
      <c r="B104" s="1" t="s">
        <v>440</v>
      </c>
      <c r="C104" s="2">
        <v>45912</v>
      </c>
      <c r="D104" s="2">
        <v>45933</v>
      </c>
      <c r="E104">
        <v>2</v>
      </c>
      <c r="F104" s="1" t="s">
        <v>701</v>
      </c>
    </row>
    <row r="105" spans="1:6" x14ac:dyDescent="0.3">
      <c r="A105" s="1" t="s">
        <v>804</v>
      </c>
      <c r="B105" s="1" t="s">
        <v>442</v>
      </c>
      <c r="C105" s="2">
        <v>46148</v>
      </c>
      <c r="D105" s="2">
        <v>46167</v>
      </c>
      <c r="E105">
        <v>4</v>
      </c>
      <c r="F105" s="1" t="s">
        <v>703</v>
      </c>
    </row>
    <row r="106" spans="1:6" x14ac:dyDescent="0.3">
      <c r="A106" s="1" t="s">
        <v>805</v>
      </c>
      <c r="B106" s="1" t="s">
        <v>444</v>
      </c>
      <c r="C106" s="2">
        <v>45848</v>
      </c>
      <c r="D106" s="2">
        <v>45870</v>
      </c>
      <c r="E106">
        <v>5</v>
      </c>
      <c r="F106" s="1" t="s">
        <v>699</v>
      </c>
    </row>
    <row r="107" spans="1:6" x14ac:dyDescent="0.3">
      <c r="A107" s="1" t="s">
        <v>806</v>
      </c>
      <c r="B107" s="1" t="s">
        <v>446</v>
      </c>
      <c r="C107" s="2">
        <v>46064</v>
      </c>
      <c r="D107" s="2">
        <v>46081</v>
      </c>
      <c r="E107">
        <v>8</v>
      </c>
      <c r="F107" s="1" t="s">
        <v>699</v>
      </c>
    </row>
    <row r="108" spans="1:6" x14ac:dyDescent="0.3">
      <c r="A108" s="1" t="s">
        <v>807</v>
      </c>
      <c r="B108" s="1" t="s">
        <v>448</v>
      </c>
      <c r="C108" s="2">
        <v>45968</v>
      </c>
      <c r="D108" s="2">
        <v>45985</v>
      </c>
      <c r="E108">
        <v>4</v>
      </c>
      <c r="F108" s="1" t="s">
        <v>701</v>
      </c>
    </row>
    <row r="109" spans="1:6" x14ac:dyDescent="0.3">
      <c r="A109" s="1" t="s">
        <v>808</v>
      </c>
      <c r="B109" s="1" t="s">
        <v>450</v>
      </c>
      <c r="C109" s="2">
        <v>46175</v>
      </c>
      <c r="D109" s="2">
        <v>46196</v>
      </c>
      <c r="E109">
        <v>2</v>
      </c>
      <c r="F109" s="1" t="s">
        <v>701</v>
      </c>
    </row>
    <row r="110" spans="1:6" x14ac:dyDescent="0.3">
      <c r="A110" s="1" t="s">
        <v>809</v>
      </c>
      <c r="B110" s="1" t="s">
        <v>452</v>
      </c>
      <c r="C110" s="2">
        <v>45903</v>
      </c>
      <c r="D110" s="2">
        <v>45917</v>
      </c>
      <c r="E110">
        <v>3</v>
      </c>
      <c r="F110" s="1" t="s">
        <v>703</v>
      </c>
    </row>
    <row r="111" spans="1:6" x14ac:dyDescent="0.3">
      <c r="A111" s="1" t="s">
        <v>810</v>
      </c>
      <c r="B111" s="1" t="s">
        <v>454</v>
      </c>
      <c r="C111" s="2">
        <v>46025</v>
      </c>
      <c r="D111" s="2">
        <v>46042</v>
      </c>
      <c r="E111">
        <v>5</v>
      </c>
      <c r="F111" s="1" t="s">
        <v>703</v>
      </c>
    </row>
    <row r="112" spans="1:6" x14ac:dyDescent="0.3">
      <c r="A112" s="1" t="s">
        <v>811</v>
      </c>
      <c r="B112" s="1" t="s">
        <v>456</v>
      </c>
      <c r="C112" s="2">
        <v>46077</v>
      </c>
      <c r="D112" s="2">
        <v>46091</v>
      </c>
      <c r="E112">
        <v>7</v>
      </c>
      <c r="F112" s="1" t="s">
        <v>699</v>
      </c>
    </row>
    <row r="113" spans="1:6" x14ac:dyDescent="0.3">
      <c r="A113" s="1" t="s">
        <v>812</v>
      </c>
      <c r="B113" s="1" t="s">
        <v>458</v>
      </c>
      <c r="C113" s="2">
        <v>46055</v>
      </c>
      <c r="D113" s="2">
        <v>46072</v>
      </c>
      <c r="E113">
        <v>-1</v>
      </c>
      <c r="F113" s="1" t="s">
        <v>701</v>
      </c>
    </row>
    <row r="114" spans="1:6" x14ac:dyDescent="0.3">
      <c r="A114" s="1" t="s">
        <v>813</v>
      </c>
      <c r="B114" s="1" t="s">
        <v>460</v>
      </c>
      <c r="C114" s="2">
        <v>45840</v>
      </c>
      <c r="D114" s="2">
        <v>45856</v>
      </c>
      <c r="E114">
        <v>5</v>
      </c>
      <c r="F114" s="1" t="s">
        <v>701</v>
      </c>
    </row>
    <row r="115" spans="1:6" x14ac:dyDescent="0.3">
      <c r="A115" s="1" t="s">
        <v>814</v>
      </c>
      <c r="B115" s="1" t="s">
        <v>462</v>
      </c>
      <c r="C115" s="2">
        <v>45864</v>
      </c>
      <c r="D115" s="2">
        <v>45891</v>
      </c>
      <c r="E115">
        <v>8</v>
      </c>
      <c r="F115" s="1" t="s">
        <v>701</v>
      </c>
    </row>
    <row r="116" spans="1:6" x14ac:dyDescent="0.3">
      <c r="A116" s="1" t="s">
        <v>815</v>
      </c>
      <c r="B116" s="1" t="s">
        <v>464</v>
      </c>
      <c r="C116" s="2">
        <v>46142</v>
      </c>
      <c r="D116" s="2">
        <v>46156</v>
      </c>
      <c r="E116">
        <v>3</v>
      </c>
      <c r="F116" s="1" t="s">
        <v>699</v>
      </c>
    </row>
    <row r="117" spans="1:6" x14ac:dyDescent="0.3">
      <c r="A117" s="1" t="s">
        <v>816</v>
      </c>
      <c r="B117" s="1" t="s">
        <v>466</v>
      </c>
      <c r="C117" s="2">
        <v>46076</v>
      </c>
      <c r="D117" s="2">
        <v>46084</v>
      </c>
      <c r="E117">
        <v>6</v>
      </c>
      <c r="F117" s="1" t="s">
        <v>703</v>
      </c>
    </row>
    <row r="118" spans="1:6" x14ac:dyDescent="0.3">
      <c r="A118" s="1" t="s">
        <v>817</v>
      </c>
      <c r="B118" s="1" t="s">
        <v>468</v>
      </c>
      <c r="C118" s="2">
        <v>45865</v>
      </c>
      <c r="D118" s="2">
        <v>45878</v>
      </c>
      <c r="E118">
        <v>1</v>
      </c>
      <c r="F118" s="1" t="s">
        <v>703</v>
      </c>
    </row>
    <row r="119" spans="1:6" x14ac:dyDescent="0.3">
      <c r="A119" s="1" t="s">
        <v>818</v>
      </c>
      <c r="B119" s="1" t="s">
        <v>470</v>
      </c>
      <c r="C119" s="2">
        <v>46164</v>
      </c>
      <c r="D119" s="2">
        <v>46170</v>
      </c>
      <c r="E119">
        <v>1</v>
      </c>
      <c r="F119" s="1" t="s">
        <v>703</v>
      </c>
    </row>
    <row r="120" spans="1:6" x14ac:dyDescent="0.3">
      <c r="A120" s="1" t="s">
        <v>819</v>
      </c>
      <c r="B120" s="1" t="s">
        <v>472</v>
      </c>
      <c r="C120" s="2">
        <v>45851</v>
      </c>
      <c r="D120" s="2">
        <v>45856</v>
      </c>
      <c r="E120">
        <v>2</v>
      </c>
      <c r="F120" s="1" t="s">
        <v>703</v>
      </c>
    </row>
    <row r="121" spans="1:6" x14ac:dyDescent="0.3">
      <c r="A121" s="1" t="s">
        <v>820</v>
      </c>
      <c r="B121" s="1" t="s">
        <v>474</v>
      </c>
      <c r="C121" s="2">
        <v>46128</v>
      </c>
      <c r="D121" s="2">
        <v>46139</v>
      </c>
      <c r="E121">
        <v>2</v>
      </c>
      <c r="F121" s="1" t="s">
        <v>703</v>
      </c>
    </row>
    <row r="122" spans="1:6" x14ac:dyDescent="0.3">
      <c r="A122" s="1" t="s">
        <v>821</v>
      </c>
      <c r="B122" s="1" t="s">
        <v>476</v>
      </c>
      <c r="C122" s="2">
        <v>45959</v>
      </c>
      <c r="D122" s="2">
        <v>45974</v>
      </c>
      <c r="E122">
        <v>6</v>
      </c>
      <c r="F122" s="1" t="s">
        <v>701</v>
      </c>
    </row>
    <row r="123" spans="1:6" x14ac:dyDescent="0.3">
      <c r="A123" s="1" t="s">
        <v>822</v>
      </c>
      <c r="B123" s="1" t="s">
        <v>478</v>
      </c>
      <c r="C123" s="2">
        <v>45936</v>
      </c>
      <c r="D123" s="2">
        <v>45947</v>
      </c>
      <c r="E123">
        <v>0</v>
      </c>
      <c r="F123" s="1" t="s">
        <v>701</v>
      </c>
    </row>
    <row r="124" spans="1:6" x14ac:dyDescent="0.3">
      <c r="A124" s="1" t="s">
        <v>823</v>
      </c>
      <c r="B124" s="1" t="s">
        <v>480</v>
      </c>
      <c r="C124" s="2">
        <v>45872</v>
      </c>
      <c r="D124" s="2">
        <v>45880</v>
      </c>
      <c r="E124">
        <v>5</v>
      </c>
      <c r="F124" s="1" t="s">
        <v>703</v>
      </c>
    </row>
    <row r="125" spans="1:6" x14ac:dyDescent="0.3">
      <c r="A125" s="1" t="s">
        <v>824</v>
      </c>
      <c r="B125" s="1" t="s">
        <v>482</v>
      </c>
      <c r="C125" s="2">
        <v>46172</v>
      </c>
      <c r="D125" s="2">
        <v>46188</v>
      </c>
      <c r="E125">
        <v>8</v>
      </c>
      <c r="F125" s="1" t="s">
        <v>699</v>
      </c>
    </row>
    <row r="126" spans="1:6" x14ac:dyDescent="0.3">
      <c r="A126" s="1" t="s">
        <v>825</v>
      </c>
      <c r="B126" s="1" t="s">
        <v>484</v>
      </c>
      <c r="C126" s="2">
        <v>46126</v>
      </c>
      <c r="D126" s="2">
        <v>46131</v>
      </c>
      <c r="E126">
        <v>-2</v>
      </c>
      <c r="F126" s="1" t="s">
        <v>699</v>
      </c>
    </row>
    <row r="127" spans="1:6" x14ac:dyDescent="0.3">
      <c r="A127" s="1" t="s">
        <v>826</v>
      </c>
      <c r="B127" s="1" t="s">
        <v>486</v>
      </c>
      <c r="C127" s="2">
        <v>45914</v>
      </c>
      <c r="D127" s="2">
        <v>45938</v>
      </c>
      <c r="E127">
        <v>8</v>
      </c>
      <c r="F127" s="1" t="s">
        <v>703</v>
      </c>
    </row>
    <row r="128" spans="1:6" x14ac:dyDescent="0.3">
      <c r="A128" s="1" t="s">
        <v>827</v>
      </c>
      <c r="B128" s="1" t="s">
        <v>488</v>
      </c>
      <c r="C128" s="2">
        <v>45865</v>
      </c>
      <c r="D128" s="2">
        <v>45874</v>
      </c>
      <c r="E128">
        <v>-2</v>
      </c>
      <c r="F128" s="1" t="s">
        <v>699</v>
      </c>
    </row>
    <row r="129" spans="1:6" x14ac:dyDescent="0.3">
      <c r="A129" s="1" t="s">
        <v>828</v>
      </c>
      <c r="B129" s="1" t="s">
        <v>490</v>
      </c>
      <c r="C129" s="2">
        <v>46142</v>
      </c>
      <c r="D129" s="2">
        <v>46151</v>
      </c>
      <c r="E129">
        <v>0</v>
      </c>
      <c r="F129" s="1" t="s">
        <v>703</v>
      </c>
    </row>
    <row r="130" spans="1:6" x14ac:dyDescent="0.3">
      <c r="A130" s="1" t="s">
        <v>829</v>
      </c>
      <c r="B130" s="1" t="s">
        <v>492</v>
      </c>
      <c r="C130" s="2">
        <v>45984</v>
      </c>
      <c r="D130" s="2">
        <v>45997</v>
      </c>
      <c r="E130">
        <v>5</v>
      </c>
      <c r="F130" s="1" t="s">
        <v>699</v>
      </c>
    </row>
    <row r="131" spans="1:6" x14ac:dyDescent="0.3">
      <c r="A131" s="1" t="s">
        <v>830</v>
      </c>
      <c r="B131" s="1" t="s">
        <v>494</v>
      </c>
      <c r="C131" s="2">
        <v>46145</v>
      </c>
      <c r="D131" s="2">
        <v>46155</v>
      </c>
      <c r="E131">
        <v>4</v>
      </c>
      <c r="F131" s="1" t="s">
        <v>699</v>
      </c>
    </row>
    <row r="132" spans="1:6" x14ac:dyDescent="0.3">
      <c r="A132" s="1" t="s">
        <v>831</v>
      </c>
      <c r="B132" s="1" t="s">
        <v>496</v>
      </c>
      <c r="C132" s="2">
        <v>45892</v>
      </c>
      <c r="D132" s="2">
        <v>45903</v>
      </c>
      <c r="E132">
        <v>0</v>
      </c>
      <c r="F132" s="1" t="s">
        <v>701</v>
      </c>
    </row>
    <row r="133" spans="1:6" x14ac:dyDescent="0.3">
      <c r="A133" s="1" t="s">
        <v>832</v>
      </c>
      <c r="B133" s="1" t="s">
        <v>498</v>
      </c>
      <c r="C133" s="2">
        <v>45951</v>
      </c>
      <c r="D133" s="2">
        <v>45969</v>
      </c>
      <c r="E133">
        <v>2</v>
      </c>
      <c r="F133" s="1" t="s">
        <v>699</v>
      </c>
    </row>
    <row r="134" spans="1:6" x14ac:dyDescent="0.3">
      <c r="A134" s="1" t="s">
        <v>833</v>
      </c>
      <c r="B134" s="1" t="s">
        <v>500</v>
      </c>
      <c r="C134" s="2">
        <v>46171</v>
      </c>
      <c r="D134" s="2">
        <v>46187</v>
      </c>
      <c r="E134">
        <v>2</v>
      </c>
      <c r="F134" s="1" t="s">
        <v>699</v>
      </c>
    </row>
    <row r="135" spans="1:6" x14ac:dyDescent="0.3">
      <c r="A135" s="1" t="s">
        <v>834</v>
      </c>
      <c r="B135" s="1" t="s">
        <v>502</v>
      </c>
      <c r="C135" s="2">
        <v>45869</v>
      </c>
      <c r="D135" s="2">
        <v>45881</v>
      </c>
      <c r="E135">
        <v>8</v>
      </c>
      <c r="F135" s="1" t="s">
        <v>703</v>
      </c>
    </row>
    <row r="136" spans="1:6" x14ac:dyDescent="0.3">
      <c r="A136" s="1" t="s">
        <v>835</v>
      </c>
      <c r="B136" s="1" t="s">
        <v>504</v>
      </c>
      <c r="C136" s="2">
        <v>46025</v>
      </c>
      <c r="D136" s="2">
        <v>46037</v>
      </c>
      <c r="E136">
        <v>2</v>
      </c>
      <c r="F136" s="1" t="s">
        <v>699</v>
      </c>
    </row>
    <row r="137" spans="1:6" x14ac:dyDescent="0.3">
      <c r="A137" s="1" t="s">
        <v>836</v>
      </c>
      <c r="B137" s="1" t="s">
        <v>506</v>
      </c>
      <c r="C137" s="2">
        <v>46046</v>
      </c>
      <c r="D137" s="2">
        <v>46051</v>
      </c>
      <c r="E137">
        <v>3</v>
      </c>
      <c r="F137" s="1" t="s">
        <v>701</v>
      </c>
    </row>
    <row r="138" spans="1:6" x14ac:dyDescent="0.3">
      <c r="A138" s="1" t="s">
        <v>837</v>
      </c>
      <c r="B138" s="1" t="s">
        <v>508</v>
      </c>
      <c r="C138" s="2">
        <v>45859</v>
      </c>
      <c r="D138" s="2">
        <v>45874</v>
      </c>
      <c r="E138">
        <v>8</v>
      </c>
      <c r="F138" s="1" t="s">
        <v>699</v>
      </c>
    </row>
    <row r="139" spans="1:6" x14ac:dyDescent="0.3">
      <c r="A139" s="1" t="s">
        <v>838</v>
      </c>
      <c r="B139" s="1" t="s">
        <v>510</v>
      </c>
      <c r="C139" s="2">
        <v>46191</v>
      </c>
      <c r="D139" s="2">
        <v>46199</v>
      </c>
      <c r="E139">
        <v>-2</v>
      </c>
      <c r="F139" s="1" t="s">
        <v>703</v>
      </c>
    </row>
    <row r="140" spans="1:6" x14ac:dyDescent="0.3">
      <c r="A140" s="1" t="s">
        <v>839</v>
      </c>
      <c r="B140" s="1" t="s">
        <v>512</v>
      </c>
      <c r="C140" s="2">
        <v>45965</v>
      </c>
      <c r="D140" s="2">
        <v>45990</v>
      </c>
      <c r="E140">
        <v>8</v>
      </c>
      <c r="F140" s="1" t="s">
        <v>703</v>
      </c>
    </row>
    <row r="141" spans="1:6" x14ac:dyDescent="0.3">
      <c r="A141" s="1" t="s">
        <v>840</v>
      </c>
      <c r="B141" s="1" t="s">
        <v>514</v>
      </c>
      <c r="C141" s="2">
        <v>46199</v>
      </c>
      <c r="D141" s="2">
        <v>46212</v>
      </c>
      <c r="E141">
        <v>1</v>
      </c>
      <c r="F141" s="1" t="s">
        <v>703</v>
      </c>
    </row>
    <row r="142" spans="1:6" x14ac:dyDescent="0.3">
      <c r="A142" s="1" t="s">
        <v>841</v>
      </c>
      <c r="B142" s="1" t="s">
        <v>516</v>
      </c>
      <c r="C142" s="2">
        <v>46086</v>
      </c>
      <c r="D142" s="2">
        <v>46111</v>
      </c>
      <c r="E142">
        <v>8</v>
      </c>
      <c r="F142" s="1" t="s">
        <v>699</v>
      </c>
    </row>
    <row r="143" spans="1:6" x14ac:dyDescent="0.3">
      <c r="A143" s="1" t="s">
        <v>842</v>
      </c>
      <c r="B143" s="1" t="s">
        <v>518</v>
      </c>
      <c r="C143" s="2">
        <v>46026</v>
      </c>
      <c r="D143" s="2">
        <v>46044</v>
      </c>
      <c r="E143">
        <v>-1</v>
      </c>
      <c r="F143" s="1" t="s">
        <v>699</v>
      </c>
    </row>
    <row r="144" spans="1:6" x14ac:dyDescent="0.3">
      <c r="A144" s="1" t="s">
        <v>843</v>
      </c>
      <c r="B144" s="1" t="s">
        <v>520</v>
      </c>
      <c r="C144" s="2">
        <v>46198</v>
      </c>
      <c r="D144" s="2">
        <v>46211</v>
      </c>
      <c r="E144">
        <v>1</v>
      </c>
      <c r="F144" s="1" t="s">
        <v>703</v>
      </c>
    </row>
    <row r="145" spans="1:6" x14ac:dyDescent="0.3">
      <c r="A145" s="1" t="s">
        <v>844</v>
      </c>
      <c r="B145" s="1" t="s">
        <v>522</v>
      </c>
      <c r="C145" s="2">
        <v>46199</v>
      </c>
      <c r="D145" s="2">
        <v>46217</v>
      </c>
      <c r="E145">
        <v>-1</v>
      </c>
      <c r="F145" s="1" t="s">
        <v>699</v>
      </c>
    </row>
    <row r="146" spans="1:6" x14ac:dyDescent="0.3">
      <c r="A146" s="1" t="s">
        <v>845</v>
      </c>
      <c r="B146" s="1" t="s">
        <v>524</v>
      </c>
      <c r="C146" s="2">
        <v>45990</v>
      </c>
      <c r="D146" s="2">
        <v>46010</v>
      </c>
      <c r="E146">
        <v>7</v>
      </c>
      <c r="F146" s="1" t="s">
        <v>699</v>
      </c>
    </row>
    <row r="147" spans="1:6" x14ac:dyDescent="0.3">
      <c r="A147" s="1" t="s">
        <v>846</v>
      </c>
      <c r="B147" s="1" t="s">
        <v>526</v>
      </c>
      <c r="C147" s="2">
        <v>45984</v>
      </c>
      <c r="D147" s="2">
        <v>45993</v>
      </c>
      <c r="E147">
        <v>6</v>
      </c>
      <c r="F147" s="1" t="s">
        <v>701</v>
      </c>
    </row>
    <row r="148" spans="1:6" x14ac:dyDescent="0.3">
      <c r="A148" s="1" t="s">
        <v>847</v>
      </c>
      <c r="B148" s="1" t="s">
        <v>528</v>
      </c>
      <c r="C148" s="2">
        <v>45844</v>
      </c>
      <c r="D148" s="2">
        <v>45860</v>
      </c>
      <c r="E148">
        <v>5</v>
      </c>
      <c r="F148" s="1" t="s">
        <v>699</v>
      </c>
    </row>
    <row r="149" spans="1:6" x14ac:dyDescent="0.3">
      <c r="A149" s="1" t="s">
        <v>848</v>
      </c>
      <c r="B149" s="1" t="s">
        <v>530</v>
      </c>
      <c r="C149" s="2">
        <v>46173</v>
      </c>
      <c r="D149" s="2">
        <v>46180</v>
      </c>
      <c r="E149">
        <v>-2</v>
      </c>
      <c r="F149" s="1" t="s">
        <v>701</v>
      </c>
    </row>
    <row r="150" spans="1:6" x14ac:dyDescent="0.3">
      <c r="A150" s="1" t="s">
        <v>849</v>
      </c>
      <c r="B150" s="1" t="s">
        <v>532</v>
      </c>
      <c r="C150" s="2">
        <v>46048</v>
      </c>
      <c r="D150" s="2">
        <v>46066</v>
      </c>
      <c r="E150">
        <v>3</v>
      </c>
      <c r="F150" s="1" t="s">
        <v>699</v>
      </c>
    </row>
    <row r="151" spans="1:6" x14ac:dyDescent="0.3">
      <c r="A151" s="1" t="s">
        <v>850</v>
      </c>
      <c r="B151" s="1" t="s">
        <v>534</v>
      </c>
      <c r="C151" s="2">
        <v>46051</v>
      </c>
      <c r="D151" s="2">
        <v>46061</v>
      </c>
      <c r="E151">
        <v>4</v>
      </c>
      <c r="F151" s="1" t="s">
        <v>701</v>
      </c>
    </row>
    <row r="152" spans="1:6" x14ac:dyDescent="0.3">
      <c r="A152" s="1" t="s">
        <v>851</v>
      </c>
      <c r="B152" s="1" t="s">
        <v>536</v>
      </c>
      <c r="C152" s="2">
        <v>46033</v>
      </c>
      <c r="D152" s="2">
        <v>46043</v>
      </c>
      <c r="E152">
        <v>0</v>
      </c>
      <c r="F152" s="1" t="s">
        <v>703</v>
      </c>
    </row>
    <row r="153" spans="1:6" x14ac:dyDescent="0.3">
      <c r="A153" s="1" t="s">
        <v>852</v>
      </c>
      <c r="B153" s="1" t="s">
        <v>538</v>
      </c>
      <c r="C153" s="2">
        <v>45890</v>
      </c>
      <c r="D153" s="2">
        <v>45908</v>
      </c>
      <c r="E153">
        <v>-1</v>
      </c>
      <c r="F153" s="1" t="s">
        <v>699</v>
      </c>
    </row>
    <row r="154" spans="1:6" x14ac:dyDescent="0.3">
      <c r="A154" s="1" t="s">
        <v>853</v>
      </c>
      <c r="B154" s="1" t="s">
        <v>540</v>
      </c>
      <c r="C154" s="2">
        <v>45890</v>
      </c>
      <c r="D154" s="2">
        <v>45912</v>
      </c>
      <c r="E154">
        <v>4</v>
      </c>
      <c r="F154" s="1" t="s">
        <v>699</v>
      </c>
    </row>
    <row r="155" spans="1:6" x14ac:dyDescent="0.3">
      <c r="A155" s="1" t="s">
        <v>854</v>
      </c>
      <c r="B155" s="1" t="s">
        <v>542</v>
      </c>
      <c r="C155" s="2">
        <v>46190</v>
      </c>
      <c r="D155" s="2">
        <v>46204</v>
      </c>
      <c r="E155">
        <v>-1</v>
      </c>
      <c r="F155" s="1" t="s">
        <v>699</v>
      </c>
    </row>
    <row r="156" spans="1:6" x14ac:dyDescent="0.3">
      <c r="A156" s="1" t="s">
        <v>855</v>
      </c>
      <c r="B156" s="1" t="s">
        <v>544</v>
      </c>
      <c r="C156" s="2">
        <v>46030</v>
      </c>
      <c r="D156" s="2">
        <v>46044</v>
      </c>
      <c r="E156">
        <v>3</v>
      </c>
      <c r="F156" s="1" t="s">
        <v>703</v>
      </c>
    </row>
    <row r="157" spans="1:6" x14ac:dyDescent="0.3">
      <c r="A157" s="1" t="s">
        <v>856</v>
      </c>
      <c r="B157" s="1" t="s">
        <v>546</v>
      </c>
      <c r="C157" s="2">
        <v>46145</v>
      </c>
      <c r="D157" s="2">
        <v>46153</v>
      </c>
      <c r="E157">
        <v>2</v>
      </c>
      <c r="F157" s="1" t="s">
        <v>699</v>
      </c>
    </row>
    <row r="158" spans="1:6" x14ac:dyDescent="0.3">
      <c r="A158" s="1" t="s">
        <v>857</v>
      </c>
      <c r="B158" s="1" t="s">
        <v>548</v>
      </c>
      <c r="C158" s="2">
        <v>46035</v>
      </c>
      <c r="D158" s="2">
        <v>46058</v>
      </c>
      <c r="E158">
        <v>4</v>
      </c>
      <c r="F158" s="1" t="s">
        <v>699</v>
      </c>
    </row>
    <row r="159" spans="1:6" x14ac:dyDescent="0.3">
      <c r="A159" s="1" t="s">
        <v>858</v>
      </c>
      <c r="B159" s="1" t="s">
        <v>550</v>
      </c>
      <c r="C159" s="2">
        <v>45980</v>
      </c>
      <c r="D159" s="2">
        <v>45996</v>
      </c>
      <c r="E159">
        <v>8</v>
      </c>
      <c r="F159" s="1" t="s">
        <v>701</v>
      </c>
    </row>
    <row r="160" spans="1:6" x14ac:dyDescent="0.3">
      <c r="A160" s="1" t="s">
        <v>859</v>
      </c>
      <c r="B160" s="1" t="s">
        <v>552</v>
      </c>
      <c r="C160" s="2">
        <v>45915</v>
      </c>
      <c r="D160" s="2">
        <v>45930</v>
      </c>
      <c r="E160">
        <v>0</v>
      </c>
      <c r="F160" s="1" t="s">
        <v>699</v>
      </c>
    </row>
    <row r="161" spans="1:6" x14ac:dyDescent="0.3">
      <c r="A161" s="1" t="s">
        <v>860</v>
      </c>
      <c r="B161" s="1" t="s">
        <v>554</v>
      </c>
      <c r="C161" s="2">
        <v>46046</v>
      </c>
      <c r="D161" s="2">
        <v>46066</v>
      </c>
      <c r="E161">
        <v>6</v>
      </c>
      <c r="F161" s="1" t="s">
        <v>701</v>
      </c>
    </row>
    <row r="162" spans="1:6" x14ac:dyDescent="0.3">
      <c r="A162" s="1" t="s">
        <v>861</v>
      </c>
      <c r="B162" s="1" t="s">
        <v>556</v>
      </c>
      <c r="C162" s="2">
        <v>45902</v>
      </c>
      <c r="D162" s="2">
        <v>45903</v>
      </c>
      <c r="E162">
        <v>-2</v>
      </c>
      <c r="F162" s="1" t="s">
        <v>701</v>
      </c>
    </row>
    <row r="163" spans="1:6" x14ac:dyDescent="0.3">
      <c r="A163" s="1" t="s">
        <v>862</v>
      </c>
      <c r="B163" s="1" t="s">
        <v>558</v>
      </c>
      <c r="C163" s="2">
        <v>45852</v>
      </c>
      <c r="D163" s="2">
        <v>45865</v>
      </c>
      <c r="E163">
        <v>8</v>
      </c>
      <c r="F163" s="1" t="s">
        <v>699</v>
      </c>
    </row>
    <row r="164" spans="1:6" x14ac:dyDescent="0.3">
      <c r="A164" s="1" t="s">
        <v>863</v>
      </c>
      <c r="B164" s="1" t="s">
        <v>560</v>
      </c>
      <c r="C164" s="2">
        <v>45927</v>
      </c>
      <c r="D164" s="2">
        <v>45934</v>
      </c>
      <c r="E164">
        <v>5</v>
      </c>
      <c r="F164" s="1" t="s">
        <v>703</v>
      </c>
    </row>
    <row r="165" spans="1:6" x14ac:dyDescent="0.3">
      <c r="A165" s="1" t="s">
        <v>864</v>
      </c>
      <c r="B165" s="1" t="s">
        <v>562</v>
      </c>
      <c r="C165" s="2">
        <v>46020</v>
      </c>
      <c r="D165" s="2">
        <v>46038</v>
      </c>
      <c r="E165">
        <v>1</v>
      </c>
      <c r="F165" s="1" t="s">
        <v>701</v>
      </c>
    </row>
    <row r="166" spans="1:6" x14ac:dyDescent="0.3">
      <c r="A166" s="1" t="s">
        <v>865</v>
      </c>
      <c r="B166" s="1" t="s">
        <v>564</v>
      </c>
      <c r="C166" s="2">
        <v>46008</v>
      </c>
      <c r="D166" s="2">
        <v>46012</v>
      </c>
      <c r="E166">
        <v>0</v>
      </c>
      <c r="F166" s="1" t="s">
        <v>703</v>
      </c>
    </row>
    <row r="167" spans="1:6" x14ac:dyDescent="0.3">
      <c r="A167" s="1" t="s">
        <v>866</v>
      </c>
      <c r="B167" s="1" t="s">
        <v>566</v>
      </c>
      <c r="C167" s="2">
        <v>45957</v>
      </c>
      <c r="D167" s="2">
        <v>45981</v>
      </c>
      <c r="E167">
        <v>7</v>
      </c>
      <c r="F167" s="1" t="s">
        <v>701</v>
      </c>
    </row>
    <row r="168" spans="1:6" x14ac:dyDescent="0.3">
      <c r="A168" s="1" t="s">
        <v>867</v>
      </c>
      <c r="B168" s="1" t="s">
        <v>568</v>
      </c>
      <c r="C168" s="2">
        <v>46079</v>
      </c>
      <c r="D168" s="2">
        <v>46095</v>
      </c>
      <c r="E168">
        <v>5</v>
      </c>
      <c r="F168" s="1" t="s">
        <v>699</v>
      </c>
    </row>
    <row r="169" spans="1:6" x14ac:dyDescent="0.3">
      <c r="A169" s="1" t="s">
        <v>868</v>
      </c>
      <c r="B169" s="1" t="s">
        <v>570</v>
      </c>
      <c r="C169" s="2">
        <v>45992</v>
      </c>
      <c r="D169" s="2">
        <v>45996</v>
      </c>
      <c r="E169">
        <v>-1</v>
      </c>
      <c r="F169" s="1" t="s">
        <v>699</v>
      </c>
    </row>
    <row r="170" spans="1:6" x14ac:dyDescent="0.3">
      <c r="A170" s="1" t="s">
        <v>869</v>
      </c>
      <c r="B170" s="1" t="s">
        <v>572</v>
      </c>
      <c r="C170" s="2">
        <v>45855</v>
      </c>
      <c r="D170" s="2">
        <v>45857</v>
      </c>
      <c r="E170">
        <v>0</v>
      </c>
      <c r="F170" s="1" t="s">
        <v>699</v>
      </c>
    </row>
    <row r="171" spans="1:6" x14ac:dyDescent="0.3">
      <c r="A171" s="1" t="s">
        <v>870</v>
      </c>
      <c r="B171" s="1" t="s">
        <v>574</v>
      </c>
      <c r="C171" s="2">
        <v>46042</v>
      </c>
      <c r="D171" s="2">
        <v>46062</v>
      </c>
      <c r="E171">
        <v>7</v>
      </c>
      <c r="F171" s="1" t="s">
        <v>701</v>
      </c>
    </row>
    <row r="172" spans="1:6" x14ac:dyDescent="0.3">
      <c r="A172" s="1" t="s">
        <v>871</v>
      </c>
      <c r="B172" s="1" t="s">
        <v>576</v>
      </c>
      <c r="C172" s="2">
        <v>46180</v>
      </c>
      <c r="D172" s="2">
        <v>46191</v>
      </c>
      <c r="E172">
        <v>4</v>
      </c>
      <c r="F172" s="1" t="s">
        <v>703</v>
      </c>
    </row>
    <row r="173" spans="1:6" x14ac:dyDescent="0.3">
      <c r="A173" s="1" t="s">
        <v>872</v>
      </c>
      <c r="B173" s="1" t="s">
        <v>578</v>
      </c>
      <c r="C173" s="2">
        <v>45901</v>
      </c>
      <c r="D173" s="2">
        <v>45919</v>
      </c>
      <c r="E173">
        <v>4</v>
      </c>
      <c r="F173" s="1" t="s">
        <v>703</v>
      </c>
    </row>
    <row r="174" spans="1:6" x14ac:dyDescent="0.3">
      <c r="A174" s="1" t="s">
        <v>873</v>
      </c>
      <c r="B174" s="1" t="s">
        <v>580</v>
      </c>
      <c r="C174" s="2">
        <v>46173</v>
      </c>
      <c r="D174" s="2">
        <v>46179</v>
      </c>
      <c r="E174">
        <v>0</v>
      </c>
      <c r="F174" s="1" t="s">
        <v>699</v>
      </c>
    </row>
    <row r="175" spans="1:6" x14ac:dyDescent="0.3">
      <c r="A175" s="1" t="s">
        <v>874</v>
      </c>
      <c r="B175" s="1" t="s">
        <v>582</v>
      </c>
      <c r="C175" s="2">
        <v>45865</v>
      </c>
      <c r="D175" s="2">
        <v>45877</v>
      </c>
      <c r="E175">
        <v>2</v>
      </c>
      <c r="F175" s="1" t="s">
        <v>701</v>
      </c>
    </row>
    <row r="176" spans="1:6" x14ac:dyDescent="0.3">
      <c r="A176" s="1" t="s">
        <v>875</v>
      </c>
      <c r="B176" s="1" t="s">
        <v>584</v>
      </c>
      <c r="C176" s="2">
        <v>45853</v>
      </c>
      <c r="D176" s="2">
        <v>45859</v>
      </c>
      <c r="E176">
        <v>-1</v>
      </c>
      <c r="F176" s="1" t="s">
        <v>699</v>
      </c>
    </row>
    <row r="177" spans="1:6" x14ac:dyDescent="0.3">
      <c r="A177" s="1" t="s">
        <v>876</v>
      </c>
      <c r="B177" s="1" t="s">
        <v>586</v>
      </c>
      <c r="C177" s="2">
        <v>46030</v>
      </c>
      <c r="D177" s="2">
        <v>46051</v>
      </c>
      <c r="E177">
        <v>6</v>
      </c>
      <c r="F177" s="1" t="s">
        <v>701</v>
      </c>
    </row>
    <row r="178" spans="1:6" x14ac:dyDescent="0.3">
      <c r="A178" s="1" t="s">
        <v>877</v>
      </c>
      <c r="B178" s="1" t="s">
        <v>588</v>
      </c>
      <c r="C178" s="2">
        <v>46039</v>
      </c>
      <c r="D178" s="2">
        <v>46063</v>
      </c>
      <c r="E178">
        <v>7</v>
      </c>
      <c r="F178" s="1" t="s">
        <v>701</v>
      </c>
    </row>
    <row r="179" spans="1:6" x14ac:dyDescent="0.3">
      <c r="A179" s="1" t="s">
        <v>878</v>
      </c>
      <c r="B179" s="1" t="s">
        <v>590</v>
      </c>
      <c r="C179" s="2">
        <v>46067</v>
      </c>
      <c r="D179" s="2">
        <v>46085</v>
      </c>
      <c r="E179">
        <v>7</v>
      </c>
      <c r="F179" s="1" t="s">
        <v>703</v>
      </c>
    </row>
    <row r="180" spans="1:6" x14ac:dyDescent="0.3">
      <c r="A180" s="1" t="s">
        <v>879</v>
      </c>
      <c r="B180" s="1" t="s">
        <v>592</v>
      </c>
      <c r="C180" s="2">
        <v>46003</v>
      </c>
      <c r="D180" s="2">
        <v>46003</v>
      </c>
      <c r="E180">
        <v>-2</v>
      </c>
      <c r="F180" s="1" t="s">
        <v>701</v>
      </c>
    </row>
    <row r="181" spans="1:6" x14ac:dyDescent="0.3">
      <c r="A181" s="1" t="s">
        <v>880</v>
      </c>
      <c r="B181" s="1" t="s">
        <v>594</v>
      </c>
      <c r="C181" s="2">
        <v>45865</v>
      </c>
      <c r="D181" s="2">
        <v>45884</v>
      </c>
      <c r="E181">
        <v>2</v>
      </c>
      <c r="F181" s="1" t="s">
        <v>699</v>
      </c>
    </row>
    <row r="182" spans="1:6" x14ac:dyDescent="0.3">
      <c r="A182" s="1" t="s">
        <v>881</v>
      </c>
      <c r="B182" s="1" t="s">
        <v>596</v>
      </c>
      <c r="C182" s="2">
        <v>46163</v>
      </c>
      <c r="D182" s="2">
        <v>46178</v>
      </c>
      <c r="E182">
        <v>6</v>
      </c>
      <c r="F182" s="1" t="s">
        <v>701</v>
      </c>
    </row>
    <row r="183" spans="1:6" x14ac:dyDescent="0.3">
      <c r="A183" s="1" t="s">
        <v>882</v>
      </c>
      <c r="B183" s="1" t="s">
        <v>598</v>
      </c>
      <c r="C183" s="2">
        <v>46109</v>
      </c>
      <c r="D183" s="2">
        <v>46121</v>
      </c>
      <c r="E183">
        <v>6</v>
      </c>
      <c r="F183" s="1" t="s">
        <v>699</v>
      </c>
    </row>
    <row r="184" spans="1:6" x14ac:dyDescent="0.3">
      <c r="A184" s="1" t="s">
        <v>883</v>
      </c>
      <c r="B184" s="1" t="s">
        <v>600</v>
      </c>
      <c r="C184" s="2">
        <v>46131</v>
      </c>
      <c r="D184" s="2">
        <v>46151</v>
      </c>
      <c r="E184">
        <v>4</v>
      </c>
      <c r="F184" s="1" t="s">
        <v>703</v>
      </c>
    </row>
    <row r="185" spans="1:6" x14ac:dyDescent="0.3">
      <c r="A185" s="1" t="s">
        <v>884</v>
      </c>
      <c r="B185" s="1" t="s">
        <v>602</v>
      </c>
      <c r="C185" s="2">
        <v>45886</v>
      </c>
      <c r="D185" s="2">
        <v>45898</v>
      </c>
      <c r="E185">
        <v>8</v>
      </c>
      <c r="F185" s="1" t="s">
        <v>699</v>
      </c>
    </row>
    <row r="186" spans="1:6" x14ac:dyDescent="0.3">
      <c r="A186" s="1" t="s">
        <v>885</v>
      </c>
      <c r="B186" s="1" t="s">
        <v>604</v>
      </c>
      <c r="C186" s="2">
        <v>46179</v>
      </c>
      <c r="D186" s="2">
        <v>46188</v>
      </c>
      <c r="E186">
        <v>1</v>
      </c>
      <c r="F186" s="1" t="s">
        <v>703</v>
      </c>
    </row>
    <row r="187" spans="1:6" x14ac:dyDescent="0.3">
      <c r="A187" s="1" t="s">
        <v>886</v>
      </c>
      <c r="B187" s="1" t="s">
        <v>606</v>
      </c>
      <c r="C187" s="2">
        <v>45940</v>
      </c>
      <c r="D187" s="2">
        <v>45954</v>
      </c>
      <c r="E187">
        <v>4</v>
      </c>
      <c r="F187" s="1" t="s">
        <v>699</v>
      </c>
    </row>
    <row r="188" spans="1:6" x14ac:dyDescent="0.3">
      <c r="A188" s="1" t="s">
        <v>887</v>
      </c>
      <c r="B188" s="1" t="s">
        <v>608</v>
      </c>
      <c r="C188" s="2">
        <v>45906</v>
      </c>
      <c r="D188" s="2">
        <v>45919</v>
      </c>
      <c r="E188">
        <v>1</v>
      </c>
      <c r="F188" s="1" t="s">
        <v>703</v>
      </c>
    </row>
    <row r="189" spans="1:6" x14ac:dyDescent="0.3">
      <c r="A189" s="1" t="s">
        <v>888</v>
      </c>
      <c r="B189" s="1" t="s">
        <v>610</v>
      </c>
      <c r="C189" s="2">
        <v>46169</v>
      </c>
      <c r="D189" s="2">
        <v>46186</v>
      </c>
      <c r="E189">
        <v>8</v>
      </c>
      <c r="F189" s="1" t="s">
        <v>701</v>
      </c>
    </row>
    <row r="190" spans="1:6" x14ac:dyDescent="0.3">
      <c r="A190" s="1" t="s">
        <v>889</v>
      </c>
      <c r="B190" s="1" t="s">
        <v>612</v>
      </c>
      <c r="C190" s="2">
        <v>46135</v>
      </c>
      <c r="D190" s="2">
        <v>46148</v>
      </c>
      <c r="E190">
        <v>-1</v>
      </c>
      <c r="F190" s="1" t="s">
        <v>701</v>
      </c>
    </row>
    <row r="191" spans="1:6" x14ac:dyDescent="0.3">
      <c r="A191" s="1" t="s">
        <v>890</v>
      </c>
      <c r="B191" s="1" t="s">
        <v>614</v>
      </c>
      <c r="C191" s="2">
        <v>45870</v>
      </c>
      <c r="D191" s="2">
        <v>45881</v>
      </c>
      <c r="E191">
        <v>-2</v>
      </c>
      <c r="F191" s="1" t="s">
        <v>703</v>
      </c>
    </row>
    <row r="192" spans="1:6" x14ac:dyDescent="0.3">
      <c r="A192" s="1" t="s">
        <v>891</v>
      </c>
      <c r="B192" s="1" t="s">
        <v>616</v>
      </c>
      <c r="C192" s="2">
        <v>46102</v>
      </c>
      <c r="D192" s="2">
        <v>46118</v>
      </c>
      <c r="E192">
        <v>3</v>
      </c>
      <c r="F192" s="1" t="s">
        <v>699</v>
      </c>
    </row>
    <row r="193" spans="1:6" x14ac:dyDescent="0.3">
      <c r="A193" s="1" t="s">
        <v>892</v>
      </c>
      <c r="B193" s="1" t="s">
        <v>618</v>
      </c>
      <c r="C193" s="2">
        <v>46021</v>
      </c>
      <c r="D193" s="2">
        <v>46044</v>
      </c>
      <c r="E193">
        <v>4</v>
      </c>
      <c r="F193" s="1" t="s">
        <v>701</v>
      </c>
    </row>
    <row r="194" spans="1:6" x14ac:dyDescent="0.3">
      <c r="A194" s="1" t="s">
        <v>893</v>
      </c>
      <c r="B194" s="1" t="s">
        <v>620</v>
      </c>
      <c r="C194" s="2">
        <v>45983</v>
      </c>
      <c r="D194" s="2">
        <v>46003</v>
      </c>
      <c r="E194">
        <v>4</v>
      </c>
      <c r="F194" s="1" t="s">
        <v>703</v>
      </c>
    </row>
    <row r="195" spans="1:6" x14ac:dyDescent="0.3">
      <c r="A195" s="1" t="s">
        <v>894</v>
      </c>
      <c r="B195" s="1" t="s">
        <v>622</v>
      </c>
      <c r="C195" s="2">
        <v>46019</v>
      </c>
      <c r="D195" s="2">
        <v>46028</v>
      </c>
      <c r="E195">
        <v>6</v>
      </c>
      <c r="F195" s="1" t="s">
        <v>701</v>
      </c>
    </row>
    <row r="196" spans="1:6" x14ac:dyDescent="0.3">
      <c r="A196" s="1" t="s">
        <v>895</v>
      </c>
      <c r="B196" s="1" t="s">
        <v>624</v>
      </c>
      <c r="C196" s="2">
        <v>46000</v>
      </c>
      <c r="D196" s="2">
        <v>46009</v>
      </c>
      <c r="E196">
        <v>0</v>
      </c>
      <c r="F196" s="1" t="s">
        <v>703</v>
      </c>
    </row>
    <row r="197" spans="1:6" x14ac:dyDescent="0.3">
      <c r="A197" s="1" t="s">
        <v>896</v>
      </c>
      <c r="B197" s="1" t="s">
        <v>626</v>
      </c>
      <c r="C197" s="2">
        <v>45901</v>
      </c>
      <c r="D197" s="2">
        <v>45919</v>
      </c>
      <c r="E197">
        <v>-1</v>
      </c>
      <c r="F197" s="1" t="s">
        <v>699</v>
      </c>
    </row>
    <row r="198" spans="1:6" x14ac:dyDescent="0.3">
      <c r="A198" s="1" t="s">
        <v>897</v>
      </c>
      <c r="B198" s="1" t="s">
        <v>628</v>
      </c>
      <c r="C198" s="2">
        <v>45936</v>
      </c>
      <c r="D198" s="2">
        <v>45958</v>
      </c>
      <c r="E198">
        <v>7</v>
      </c>
      <c r="F198" s="1" t="s">
        <v>699</v>
      </c>
    </row>
    <row r="199" spans="1:6" x14ac:dyDescent="0.3">
      <c r="A199" s="1" t="s">
        <v>898</v>
      </c>
      <c r="B199" s="1" t="s">
        <v>630</v>
      </c>
      <c r="C199" s="2">
        <v>45920</v>
      </c>
      <c r="D199" s="2">
        <v>45928</v>
      </c>
      <c r="E199">
        <v>-2</v>
      </c>
      <c r="F199" s="1" t="s">
        <v>703</v>
      </c>
    </row>
    <row r="200" spans="1:6" x14ac:dyDescent="0.3">
      <c r="A200" s="1" t="s">
        <v>899</v>
      </c>
      <c r="B200" s="1" t="s">
        <v>632</v>
      </c>
      <c r="C200" s="2">
        <v>46094</v>
      </c>
      <c r="D200" s="2">
        <v>46111</v>
      </c>
      <c r="E200">
        <v>1</v>
      </c>
      <c r="F200" s="1" t="s">
        <v>699</v>
      </c>
    </row>
    <row r="201" spans="1:6" x14ac:dyDescent="0.3">
      <c r="A201" s="1" t="s">
        <v>900</v>
      </c>
      <c r="B201" s="1" t="s">
        <v>634</v>
      </c>
      <c r="C201" s="2">
        <v>45935</v>
      </c>
      <c r="D201" s="2">
        <v>45952</v>
      </c>
      <c r="E201">
        <v>-2</v>
      </c>
      <c r="F201" s="1" t="s">
        <v>703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E5031-4D01-4C0C-B380-2234CD126901}">
  <dimension ref="A1:J201"/>
  <sheetViews>
    <sheetView workbookViewId="0">
      <selection activeCell="L21" sqref="L21"/>
    </sheetView>
  </sheetViews>
  <sheetFormatPr defaultRowHeight="14.4" x14ac:dyDescent="0.3"/>
  <cols>
    <col min="1" max="1" width="13.21875" bestFit="1" customWidth="1"/>
    <col min="2" max="2" width="12.88671875" bestFit="1" customWidth="1"/>
    <col min="3" max="3" width="13.6640625" bestFit="1" customWidth="1"/>
    <col min="4" max="4" width="14.33203125" bestFit="1" customWidth="1"/>
    <col min="5" max="5" width="18.6640625" bestFit="1" customWidth="1"/>
    <col min="6" max="6" width="10.33203125" bestFit="1" customWidth="1"/>
    <col min="7" max="7" width="11.77734375" bestFit="1" customWidth="1"/>
    <col min="8" max="8" width="12.88671875" bestFit="1" customWidth="1"/>
    <col min="9" max="9" width="9.109375" bestFit="1" customWidth="1"/>
    <col min="10" max="10" width="12.21875" bestFit="1" customWidth="1"/>
  </cols>
  <sheetData>
    <row r="1" spans="1:10" x14ac:dyDescent="0.3">
      <c r="A1" t="s">
        <v>223</v>
      </c>
      <c r="B1" t="s">
        <v>635</v>
      </c>
      <c r="C1" t="s">
        <v>1</v>
      </c>
      <c r="D1" t="s">
        <v>636</v>
      </c>
      <c r="E1" t="s">
        <v>637</v>
      </c>
      <c r="F1" t="s">
        <v>638</v>
      </c>
      <c r="G1" t="s">
        <v>639</v>
      </c>
      <c r="H1" t="s">
        <v>640</v>
      </c>
      <c r="I1" t="s">
        <v>641</v>
      </c>
      <c r="J1" t="s">
        <v>903</v>
      </c>
    </row>
    <row r="2" spans="1:10" x14ac:dyDescent="0.3">
      <c r="A2" s="1" t="s">
        <v>233</v>
      </c>
      <c r="B2" s="1" t="s">
        <v>642</v>
      </c>
      <c r="C2" s="1" t="s">
        <v>33</v>
      </c>
      <c r="D2" s="8">
        <v>46170</v>
      </c>
      <c r="E2" s="8">
        <v>46180</v>
      </c>
      <c r="F2">
        <v>315</v>
      </c>
      <c r="G2">
        <v>262</v>
      </c>
      <c r="H2">
        <v>82530</v>
      </c>
      <c r="I2" s="1" t="s">
        <v>643</v>
      </c>
      <c r="J2" s="1" t="s">
        <v>913</v>
      </c>
    </row>
    <row r="3" spans="1:10" x14ac:dyDescent="0.3">
      <c r="A3" s="1" t="s">
        <v>268</v>
      </c>
      <c r="B3" s="1" t="s">
        <v>642</v>
      </c>
      <c r="C3" s="1" t="s">
        <v>14</v>
      </c>
      <c r="D3" s="8">
        <v>46063</v>
      </c>
      <c r="E3" s="8">
        <v>46067</v>
      </c>
      <c r="F3">
        <v>146</v>
      </c>
      <c r="G3">
        <v>316</v>
      </c>
      <c r="H3">
        <v>46136</v>
      </c>
      <c r="I3" s="1" t="s">
        <v>646</v>
      </c>
      <c r="J3" s="1" t="s">
        <v>913</v>
      </c>
    </row>
    <row r="4" spans="1:10" x14ac:dyDescent="0.3">
      <c r="A4" s="1" t="s">
        <v>278</v>
      </c>
      <c r="B4" s="1" t="s">
        <v>642</v>
      </c>
      <c r="C4" s="1" t="s">
        <v>46</v>
      </c>
      <c r="D4" s="8">
        <v>46049</v>
      </c>
      <c r="E4" s="8">
        <v>46069</v>
      </c>
      <c r="F4">
        <v>71</v>
      </c>
      <c r="G4">
        <v>57</v>
      </c>
      <c r="H4">
        <v>4047</v>
      </c>
      <c r="I4" s="1" t="s">
        <v>649</v>
      </c>
      <c r="J4" s="1" t="s">
        <v>913</v>
      </c>
    </row>
    <row r="5" spans="1:10" x14ac:dyDescent="0.3">
      <c r="A5" s="1" t="s">
        <v>330</v>
      </c>
      <c r="B5" s="1" t="s">
        <v>642</v>
      </c>
      <c r="C5" s="1" t="s">
        <v>28</v>
      </c>
      <c r="D5" s="8">
        <v>46204</v>
      </c>
      <c r="E5" s="8">
        <v>46208</v>
      </c>
      <c r="F5">
        <v>117</v>
      </c>
      <c r="G5">
        <v>150</v>
      </c>
      <c r="H5">
        <v>17550</v>
      </c>
      <c r="I5" s="1" t="s">
        <v>646</v>
      </c>
      <c r="J5" s="1" t="s">
        <v>913</v>
      </c>
    </row>
    <row r="6" spans="1:10" x14ac:dyDescent="0.3">
      <c r="A6" s="1" t="s">
        <v>296</v>
      </c>
      <c r="B6" s="1" t="s">
        <v>668</v>
      </c>
      <c r="C6" s="1" t="s">
        <v>19</v>
      </c>
      <c r="D6" s="8">
        <v>45921</v>
      </c>
      <c r="E6" s="8">
        <v>45928</v>
      </c>
      <c r="F6">
        <v>190</v>
      </c>
      <c r="G6">
        <v>414</v>
      </c>
      <c r="H6">
        <v>78660</v>
      </c>
      <c r="I6" s="1" t="s">
        <v>646</v>
      </c>
      <c r="J6" s="1" t="s">
        <v>908</v>
      </c>
    </row>
    <row r="7" spans="1:10" x14ac:dyDescent="0.3">
      <c r="A7" s="1" t="s">
        <v>236</v>
      </c>
      <c r="B7" s="1" t="s">
        <v>644</v>
      </c>
      <c r="C7" s="1" t="s">
        <v>11</v>
      </c>
      <c r="D7" s="8">
        <v>45862</v>
      </c>
      <c r="E7" s="8">
        <v>45878</v>
      </c>
      <c r="F7">
        <v>68</v>
      </c>
      <c r="G7">
        <v>69</v>
      </c>
      <c r="H7">
        <v>4692</v>
      </c>
      <c r="I7" s="1" t="s">
        <v>643</v>
      </c>
      <c r="J7" s="1" t="s">
        <v>913</v>
      </c>
    </row>
    <row r="8" spans="1:10" x14ac:dyDescent="0.3">
      <c r="A8" s="1" t="s">
        <v>243</v>
      </c>
      <c r="B8" s="1" t="s">
        <v>644</v>
      </c>
      <c r="C8" s="1" t="s">
        <v>28</v>
      </c>
      <c r="D8" s="8">
        <v>46092</v>
      </c>
      <c r="E8" s="8">
        <v>46099</v>
      </c>
      <c r="F8">
        <v>294</v>
      </c>
      <c r="G8">
        <v>249</v>
      </c>
      <c r="H8">
        <v>73206</v>
      </c>
      <c r="I8" s="1" t="s">
        <v>646</v>
      </c>
      <c r="J8" s="1" t="s">
        <v>913</v>
      </c>
    </row>
    <row r="9" spans="1:10" x14ac:dyDescent="0.3">
      <c r="A9" s="1" t="s">
        <v>258</v>
      </c>
      <c r="B9" s="1" t="s">
        <v>644</v>
      </c>
      <c r="C9" s="1" t="s">
        <v>14</v>
      </c>
      <c r="D9" s="8">
        <v>46134</v>
      </c>
      <c r="E9" s="8">
        <v>46138</v>
      </c>
      <c r="F9">
        <v>171</v>
      </c>
      <c r="G9">
        <v>131</v>
      </c>
      <c r="H9">
        <v>22401</v>
      </c>
      <c r="I9" s="1" t="s">
        <v>649</v>
      </c>
      <c r="J9" s="1" t="s">
        <v>913</v>
      </c>
    </row>
    <row r="10" spans="1:10" x14ac:dyDescent="0.3">
      <c r="A10" s="1" t="s">
        <v>239</v>
      </c>
      <c r="B10" s="1" t="s">
        <v>645</v>
      </c>
      <c r="C10" s="1" t="s">
        <v>24</v>
      </c>
      <c r="D10" s="8">
        <v>45909</v>
      </c>
      <c r="E10" s="8">
        <v>45913</v>
      </c>
      <c r="F10">
        <v>259</v>
      </c>
      <c r="G10">
        <v>462</v>
      </c>
      <c r="H10">
        <v>119658</v>
      </c>
      <c r="I10" s="1" t="s">
        <v>646</v>
      </c>
      <c r="J10" s="1" t="s">
        <v>913</v>
      </c>
    </row>
    <row r="11" spans="1:10" x14ac:dyDescent="0.3">
      <c r="A11" s="1" t="s">
        <v>270</v>
      </c>
      <c r="B11" s="1" t="s">
        <v>645</v>
      </c>
      <c r="C11" s="1" t="s">
        <v>11</v>
      </c>
      <c r="D11" s="8">
        <v>45991</v>
      </c>
      <c r="E11" s="8">
        <v>46010</v>
      </c>
      <c r="F11">
        <v>356</v>
      </c>
      <c r="G11">
        <v>318</v>
      </c>
      <c r="H11">
        <v>113208</v>
      </c>
      <c r="I11" s="1" t="s">
        <v>643</v>
      </c>
      <c r="J11" s="1" t="s">
        <v>913</v>
      </c>
    </row>
    <row r="12" spans="1:10" x14ac:dyDescent="0.3">
      <c r="A12" s="1" t="s">
        <v>308</v>
      </c>
      <c r="B12" s="1" t="s">
        <v>645</v>
      </c>
      <c r="C12" s="1" t="s">
        <v>46</v>
      </c>
      <c r="D12" s="8">
        <v>46147</v>
      </c>
      <c r="E12" s="8">
        <v>46154</v>
      </c>
      <c r="F12">
        <v>337</v>
      </c>
      <c r="G12">
        <v>403</v>
      </c>
      <c r="H12">
        <v>135811</v>
      </c>
      <c r="I12" s="1" t="s">
        <v>646</v>
      </c>
      <c r="J12" s="1" t="s">
        <v>913</v>
      </c>
    </row>
    <row r="13" spans="1:10" x14ac:dyDescent="0.3">
      <c r="A13" s="1" t="s">
        <v>304</v>
      </c>
      <c r="B13" s="1" t="s">
        <v>670</v>
      </c>
      <c r="C13" s="1" t="s">
        <v>11</v>
      </c>
      <c r="D13" s="8">
        <v>46110</v>
      </c>
      <c r="E13" s="8">
        <v>46114</v>
      </c>
      <c r="F13">
        <v>177</v>
      </c>
      <c r="G13">
        <v>206</v>
      </c>
      <c r="H13">
        <v>36462</v>
      </c>
      <c r="I13" s="1" t="s">
        <v>646</v>
      </c>
      <c r="J13" s="1" t="s">
        <v>913</v>
      </c>
    </row>
    <row r="14" spans="1:10" x14ac:dyDescent="0.3">
      <c r="A14" s="1" t="s">
        <v>326</v>
      </c>
      <c r="B14" s="1" t="s">
        <v>670</v>
      </c>
      <c r="C14" s="1" t="s">
        <v>11</v>
      </c>
      <c r="D14" s="8">
        <v>46042</v>
      </c>
      <c r="E14" s="8">
        <v>46058</v>
      </c>
      <c r="F14">
        <v>75</v>
      </c>
      <c r="G14">
        <v>325</v>
      </c>
      <c r="H14">
        <v>24375</v>
      </c>
      <c r="I14" s="1" t="s">
        <v>649</v>
      </c>
      <c r="J14" s="1" t="s">
        <v>913</v>
      </c>
    </row>
    <row r="15" spans="1:10" x14ac:dyDescent="0.3">
      <c r="A15" s="1" t="s">
        <v>241</v>
      </c>
      <c r="B15" s="1" t="s">
        <v>647</v>
      </c>
      <c r="C15" s="1" t="s">
        <v>46</v>
      </c>
      <c r="D15" s="8">
        <v>46010</v>
      </c>
      <c r="E15" s="8">
        <v>46016</v>
      </c>
      <c r="F15">
        <v>392</v>
      </c>
      <c r="G15">
        <v>193</v>
      </c>
      <c r="H15">
        <v>75656</v>
      </c>
      <c r="I15" s="1" t="s">
        <v>646</v>
      </c>
      <c r="J15" s="1" t="s">
        <v>926</v>
      </c>
    </row>
    <row r="16" spans="1:10" x14ac:dyDescent="0.3">
      <c r="A16" s="1" t="s">
        <v>274</v>
      </c>
      <c r="B16" s="1" t="s">
        <v>647</v>
      </c>
      <c r="C16" s="1" t="s">
        <v>33</v>
      </c>
      <c r="D16" s="8">
        <v>46030</v>
      </c>
      <c r="E16" s="8">
        <v>46042</v>
      </c>
      <c r="F16">
        <v>87</v>
      </c>
      <c r="G16">
        <v>363</v>
      </c>
      <c r="H16">
        <v>31581</v>
      </c>
      <c r="I16" s="1" t="s">
        <v>643</v>
      </c>
      <c r="J16" s="1" t="s">
        <v>926</v>
      </c>
    </row>
    <row r="17" spans="1:10" x14ac:dyDescent="0.3">
      <c r="A17" s="1" t="s">
        <v>294</v>
      </c>
      <c r="B17" s="1" t="s">
        <v>667</v>
      </c>
      <c r="C17" s="1" t="s">
        <v>19</v>
      </c>
      <c r="D17" s="8">
        <v>45951</v>
      </c>
      <c r="E17" s="8">
        <v>45967</v>
      </c>
      <c r="F17">
        <v>67</v>
      </c>
      <c r="G17">
        <v>344</v>
      </c>
      <c r="H17">
        <v>23048</v>
      </c>
      <c r="I17" s="1" t="s">
        <v>646</v>
      </c>
      <c r="J17" s="1" t="s">
        <v>915</v>
      </c>
    </row>
    <row r="18" spans="1:10" x14ac:dyDescent="0.3">
      <c r="A18" s="1" t="s">
        <v>266</v>
      </c>
      <c r="B18" s="1" t="s">
        <v>658</v>
      </c>
      <c r="C18" s="1" t="s">
        <v>28</v>
      </c>
      <c r="D18" s="8">
        <v>46158</v>
      </c>
      <c r="E18" s="8">
        <v>46168</v>
      </c>
      <c r="F18">
        <v>365</v>
      </c>
      <c r="G18">
        <v>461</v>
      </c>
      <c r="H18">
        <v>168265</v>
      </c>
      <c r="I18" s="1" t="s">
        <v>646</v>
      </c>
      <c r="J18" s="1" t="s">
        <v>913</v>
      </c>
    </row>
    <row r="19" spans="1:10" x14ac:dyDescent="0.3">
      <c r="A19" s="1" t="s">
        <v>245</v>
      </c>
      <c r="B19" s="1" t="s">
        <v>648</v>
      </c>
      <c r="C19" s="1" t="s">
        <v>33</v>
      </c>
      <c r="D19" s="8">
        <v>46145</v>
      </c>
      <c r="E19" s="8">
        <v>46150</v>
      </c>
      <c r="F19">
        <v>256</v>
      </c>
      <c r="G19">
        <v>147</v>
      </c>
      <c r="H19">
        <v>37632</v>
      </c>
      <c r="I19" s="1" t="s">
        <v>649</v>
      </c>
      <c r="J19" s="1" t="s">
        <v>913</v>
      </c>
    </row>
    <row r="20" spans="1:10" x14ac:dyDescent="0.3">
      <c r="A20" s="1" t="s">
        <v>320</v>
      </c>
      <c r="B20" s="1" t="s">
        <v>648</v>
      </c>
      <c r="C20" s="1" t="s">
        <v>11</v>
      </c>
      <c r="D20" s="8">
        <v>46061</v>
      </c>
      <c r="E20" s="8">
        <v>46072</v>
      </c>
      <c r="F20">
        <v>462</v>
      </c>
      <c r="G20">
        <v>55</v>
      </c>
      <c r="H20">
        <v>25410</v>
      </c>
      <c r="I20" s="1" t="s">
        <v>649</v>
      </c>
      <c r="J20" s="1" t="s">
        <v>913</v>
      </c>
    </row>
    <row r="21" spans="1:10" x14ac:dyDescent="0.3">
      <c r="A21" s="1" t="s">
        <v>247</v>
      </c>
      <c r="B21" s="1" t="s">
        <v>650</v>
      </c>
      <c r="C21" s="1" t="s">
        <v>16</v>
      </c>
      <c r="D21" s="8">
        <v>45958</v>
      </c>
      <c r="E21" s="8">
        <v>45978</v>
      </c>
      <c r="F21">
        <v>45</v>
      </c>
      <c r="G21">
        <v>353</v>
      </c>
      <c r="H21">
        <v>15885</v>
      </c>
      <c r="I21" s="1" t="s">
        <v>646</v>
      </c>
      <c r="J21" s="1" t="s">
        <v>915</v>
      </c>
    </row>
    <row r="22" spans="1:10" x14ac:dyDescent="0.3">
      <c r="A22" s="1" t="s">
        <v>249</v>
      </c>
      <c r="B22" s="1" t="s">
        <v>651</v>
      </c>
      <c r="C22" s="1" t="s">
        <v>28</v>
      </c>
      <c r="D22" s="8">
        <v>46010</v>
      </c>
      <c r="E22" s="8">
        <v>46018</v>
      </c>
      <c r="F22">
        <v>454</v>
      </c>
      <c r="G22">
        <v>141</v>
      </c>
      <c r="H22">
        <v>64014</v>
      </c>
      <c r="I22" s="1" t="s">
        <v>643</v>
      </c>
      <c r="J22" s="1" t="s">
        <v>908</v>
      </c>
    </row>
    <row r="23" spans="1:10" x14ac:dyDescent="0.3">
      <c r="A23" s="1" t="s">
        <v>276</v>
      </c>
      <c r="B23" s="1" t="s">
        <v>651</v>
      </c>
      <c r="C23" s="1" t="s">
        <v>33</v>
      </c>
      <c r="D23" s="8">
        <v>45854</v>
      </c>
      <c r="E23" s="8">
        <v>45857</v>
      </c>
      <c r="F23">
        <v>499</v>
      </c>
      <c r="G23">
        <v>57</v>
      </c>
      <c r="H23">
        <v>28443</v>
      </c>
      <c r="I23" s="1" t="s">
        <v>649</v>
      </c>
      <c r="J23" s="1" t="s">
        <v>908</v>
      </c>
    </row>
    <row r="24" spans="1:10" x14ac:dyDescent="0.3">
      <c r="A24" s="1" t="s">
        <v>288</v>
      </c>
      <c r="B24" s="1" t="s">
        <v>664</v>
      </c>
      <c r="C24" s="1" t="s">
        <v>30</v>
      </c>
      <c r="D24" s="8">
        <v>45993</v>
      </c>
      <c r="E24" s="8">
        <v>46013</v>
      </c>
      <c r="F24">
        <v>475</v>
      </c>
      <c r="G24">
        <v>74</v>
      </c>
      <c r="H24">
        <v>35150</v>
      </c>
      <c r="I24" s="1" t="s">
        <v>643</v>
      </c>
      <c r="J24" s="1" t="s">
        <v>915</v>
      </c>
    </row>
    <row r="25" spans="1:10" x14ac:dyDescent="0.3">
      <c r="A25" s="1" t="s">
        <v>300</v>
      </c>
      <c r="B25" s="1" t="s">
        <v>664</v>
      </c>
      <c r="C25" s="1" t="s">
        <v>8</v>
      </c>
      <c r="D25" s="8">
        <v>46033</v>
      </c>
      <c r="E25" s="8">
        <v>46040</v>
      </c>
      <c r="F25">
        <v>58</v>
      </c>
      <c r="G25">
        <v>472</v>
      </c>
      <c r="H25">
        <v>27376</v>
      </c>
      <c r="I25" s="1" t="s">
        <v>646</v>
      </c>
      <c r="J25" s="1" t="s">
        <v>915</v>
      </c>
    </row>
    <row r="26" spans="1:10" x14ac:dyDescent="0.3">
      <c r="A26" s="1" t="s">
        <v>324</v>
      </c>
      <c r="B26" s="1" t="s">
        <v>664</v>
      </c>
      <c r="C26" s="1" t="s">
        <v>14</v>
      </c>
      <c r="D26" s="8">
        <v>45978</v>
      </c>
      <c r="E26" s="8">
        <v>45986</v>
      </c>
      <c r="F26">
        <v>469</v>
      </c>
      <c r="G26">
        <v>153</v>
      </c>
      <c r="H26">
        <v>71757</v>
      </c>
      <c r="I26" s="1" t="s">
        <v>643</v>
      </c>
      <c r="J26" s="1" t="s">
        <v>915</v>
      </c>
    </row>
    <row r="27" spans="1:10" x14ac:dyDescent="0.3">
      <c r="A27" s="1" t="s">
        <v>251</v>
      </c>
      <c r="B27" s="1" t="s">
        <v>652</v>
      </c>
      <c r="C27" s="1" t="s">
        <v>16</v>
      </c>
      <c r="D27" s="8">
        <v>45928</v>
      </c>
      <c r="E27" s="8">
        <v>45943</v>
      </c>
      <c r="F27">
        <v>129</v>
      </c>
      <c r="G27">
        <v>462</v>
      </c>
      <c r="H27">
        <v>59598</v>
      </c>
      <c r="I27" s="1" t="s">
        <v>646</v>
      </c>
      <c r="J27" s="1" t="s">
        <v>911</v>
      </c>
    </row>
    <row r="28" spans="1:10" x14ac:dyDescent="0.3">
      <c r="A28" s="1" t="s">
        <v>316</v>
      </c>
      <c r="B28" s="1" t="s">
        <v>652</v>
      </c>
      <c r="C28" s="1" t="s">
        <v>11</v>
      </c>
      <c r="D28" s="8">
        <v>46026</v>
      </c>
      <c r="E28" s="8">
        <v>46043</v>
      </c>
      <c r="F28">
        <v>133</v>
      </c>
      <c r="G28">
        <v>122</v>
      </c>
      <c r="H28">
        <v>16226</v>
      </c>
      <c r="I28" s="1" t="s">
        <v>643</v>
      </c>
      <c r="J28" s="1" t="s">
        <v>911</v>
      </c>
    </row>
    <row r="29" spans="1:10" x14ac:dyDescent="0.3">
      <c r="A29" s="1" t="s">
        <v>254</v>
      </c>
      <c r="B29" s="1" t="s">
        <v>653</v>
      </c>
      <c r="C29" s="1" t="s">
        <v>33</v>
      </c>
      <c r="D29" s="8">
        <v>46114</v>
      </c>
      <c r="E29" s="8">
        <v>46125</v>
      </c>
      <c r="F29">
        <v>21</v>
      </c>
      <c r="G29">
        <v>219</v>
      </c>
      <c r="H29">
        <v>4599</v>
      </c>
      <c r="I29" s="1" t="s">
        <v>643</v>
      </c>
      <c r="J29" s="1" t="s">
        <v>911</v>
      </c>
    </row>
    <row r="30" spans="1:10" x14ac:dyDescent="0.3">
      <c r="A30" s="1" t="s">
        <v>256</v>
      </c>
      <c r="B30" s="1" t="s">
        <v>654</v>
      </c>
      <c r="C30" s="1" t="s">
        <v>33</v>
      </c>
      <c r="D30" s="8">
        <v>46024</v>
      </c>
      <c r="E30" s="8">
        <v>46044</v>
      </c>
      <c r="F30">
        <v>376</v>
      </c>
      <c r="G30">
        <v>394</v>
      </c>
      <c r="H30">
        <v>148144</v>
      </c>
      <c r="I30" s="1" t="s">
        <v>646</v>
      </c>
      <c r="J30" s="1" t="s">
        <v>908</v>
      </c>
    </row>
    <row r="31" spans="1:10" x14ac:dyDescent="0.3">
      <c r="A31" s="1" t="s">
        <v>334</v>
      </c>
      <c r="B31" s="1" t="s">
        <v>654</v>
      </c>
      <c r="C31" s="1" t="s">
        <v>14</v>
      </c>
      <c r="D31" s="8">
        <v>45897</v>
      </c>
      <c r="E31" s="8">
        <v>45910</v>
      </c>
      <c r="F31">
        <v>55</v>
      </c>
      <c r="G31">
        <v>360</v>
      </c>
      <c r="H31">
        <v>19800</v>
      </c>
      <c r="I31" s="1" t="s">
        <v>643</v>
      </c>
      <c r="J31" s="1" t="s">
        <v>908</v>
      </c>
    </row>
    <row r="32" spans="1:10" x14ac:dyDescent="0.3">
      <c r="A32" s="1" t="s">
        <v>314</v>
      </c>
      <c r="B32" s="1" t="s">
        <v>674</v>
      </c>
      <c r="C32" s="1" t="s">
        <v>28</v>
      </c>
      <c r="D32" s="8">
        <v>46046</v>
      </c>
      <c r="E32" s="8">
        <v>46052</v>
      </c>
      <c r="F32">
        <v>423</v>
      </c>
      <c r="G32">
        <v>379</v>
      </c>
      <c r="H32">
        <v>160317</v>
      </c>
      <c r="I32" s="1" t="s">
        <v>646</v>
      </c>
      <c r="J32" s="1" t="s">
        <v>911</v>
      </c>
    </row>
    <row r="33" spans="1:10" x14ac:dyDescent="0.3">
      <c r="A33" s="1" t="s">
        <v>310</v>
      </c>
      <c r="B33" s="1" t="s">
        <v>672</v>
      </c>
      <c r="C33" s="1" t="s">
        <v>30</v>
      </c>
      <c r="D33" s="8">
        <v>45954</v>
      </c>
      <c r="E33" s="8">
        <v>45957</v>
      </c>
      <c r="F33">
        <v>471</v>
      </c>
      <c r="G33">
        <v>231</v>
      </c>
      <c r="H33">
        <v>108801</v>
      </c>
      <c r="I33" s="1" t="s">
        <v>649</v>
      </c>
      <c r="J33" s="1" t="s">
        <v>908</v>
      </c>
    </row>
    <row r="34" spans="1:10" x14ac:dyDescent="0.3">
      <c r="A34" s="1" t="s">
        <v>260</v>
      </c>
      <c r="B34" s="1" t="s">
        <v>655</v>
      </c>
      <c r="C34" s="1" t="s">
        <v>16</v>
      </c>
      <c r="D34" s="8">
        <v>45892</v>
      </c>
      <c r="E34" s="8">
        <v>45905</v>
      </c>
      <c r="F34">
        <v>51</v>
      </c>
      <c r="G34">
        <v>402</v>
      </c>
      <c r="H34">
        <v>20502</v>
      </c>
      <c r="I34" s="1" t="s">
        <v>646</v>
      </c>
      <c r="J34" s="1" t="s">
        <v>911</v>
      </c>
    </row>
    <row r="35" spans="1:10" x14ac:dyDescent="0.3">
      <c r="A35" s="1" t="s">
        <v>262</v>
      </c>
      <c r="B35" s="1" t="s">
        <v>656</v>
      </c>
      <c r="C35" s="1" t="s">
        <v>30</v>
      </c>
      <c r="D35" s="8">
        <v>46096</v>
      </c>
      <c r="E35" s="8">
        <v>46115</v>
      </c>
      <c r="F35">
        <v>264</v>
      </c>
      <c r="G35">
        <v>277</v>
      </c>
      <c r="H35">
        <v>73128</v>
      </c>
      <c r="I35" s="1" t="s">
        <v>646</v>
      </c>
      <c r="J35" s="1" t="s">
        <v>926</v>
      </c>
    </row>
    <row r="36" spans="1:10" x14ac:dyDescent="0.3">
      <c r="A36" s="1" t="s">
        <v>272</v>
      </c>
      <c r="B36" s="1" t="s">
        <v>659</v>
      </c>
      <c r="C36" s="1" t="s">
        <v>46</v>
      </c>
      <c r="D36" s="8">
        <v>45955</v>
      </c>
      <c r="E36" s="8">
        <v>45968</v>
      </c>
      <c r="F36">
        <v>362</v>
      </c>
      <c r="G36">
        <v>386</v>
      </c>
      <c r="H36">
        <v>139732</v>
      </c>
      <c r="I36" s="1" t="s">
        <v>643</v>
      </c>
      <c r="J36" s="1" t="s">
        <v>911</v>
      </c>
    </row>
    <row r="37" spans="1:10" x14ac:dyDescent="0.3">
      <c r="A37" s="1" t="s">
        <v>264</v>
      </c>
      <c r="B37" s="1" t="s">
        <v>657</v>
      </c>
      <c r="C37" s="1" t="s">
        <v>24</v>
      </c>
      <c r="D37" s="8">
        <v>46011</v>
      </c>
      <c r="E37" s="8">
        <v>46019</v>
      </c>
      <c r="F37">
        <v>61</v>
      </c>
      <c r="G37">
        <v>455</v>
      </c>
      <c r="H37">
        <v>27755</v>
      </c>
      <c r="I37" s="1" t="s">
        <v>649</v>
      </c>
      <c r="J37" s="1" t="s">
        <v>915</v>
      </c>
    </row>
    <row r="38" spans="1:10" x14ac:dyDescent="0.3">
      <c r="A38" s="1" t="s">
        <v>322</v>
      </c>
      <c r="B38" s="1" t="s">
        <v>657</v>
      </c>
      <c r="C38" s="1" t="s">
        <v>11</v>
      </c>
      <c r="D38" s="8">
        <v>46115</v>
      </c>
      <c r="E38" s="8">
        <v>46135</v>
      </c>
      <c r="F38">
        <v>224</v>
      </c>
      <c r="G38">
        <v>367</v>
      </c>
      <c r="H38">
        <v>82208</v>
      </c>
      <c r="I38" s="1" t="s">
        <v>646</v>
      </c>
      <c r="J38" s="1" t="s">
        <v>915</v>
      </c>
    </row>
    <row r="39" spans="1:10" x14ac:dyDescent="0.3">
      <c r="A39" s="1" t="s">
        <v>318</v>
      </c>
      <c r="B39" s="1" t="s">
        <v>675</v>
      </c>
      <c r="C39" s="1" t="s">
        <v>28</v>
      </c>
      <c r="D39" s="8">
        <v>46163</v>
      </c>
      <c r="E39" s="8">
        <v>46172</v>
      </c>
      <c r="F39">
        <v>134</v>
      </c>
      <c r="G39">
        <v>32</v>
      </c>
      <c r="H39">
        <v>4288</v>
      </c>
      <c r="I39" s="1" t="s">
        <v>643</v>
      </c>
      <c r="J39" s="1" t="s">
        <v>915</v>
      </c>
    </row>
    <row r="40" spans="1:10" x14ac:dyDescent="0.3">
      <c r="A40" s="1" t="s">
        <v>280</v>
      </c>
      <c r="B40" s="1" t="s">
        <v>660</v>
      </c>
      <c r="C40" s="1" t="s">
        <v>24</v>
      </c>
      <c r="D40" s="8">
        <v>46087</v>
      </c>
      <c r="E40" s="8">
        <v>46101</v>
      </c>
      <c r="F40">
        <v>87</v>
      </c>
      <c r="G40">
        <v>497</v>
      </c>
      <c r="H40">
        <v>43239</v>
      </c>
      <c r="I40" s="1" t="s">
        <v>646</v>
      </c>
      <c r="J40" s="1" t="s">
        <v>915</v>
      </c>
    </row>
    <row r="41" spans="1:10" x14ac:dyDescent="0.3">
      <c r="A41" s="1" t="s">
        <v>290</v>
      </c>
      <c r="B41" s="1" t="s">
        <v>665</v>
      </c>
      <c r="C41" s="1" t="s">
        <v>46</v>
      </c>
      <c r="D41" s="8">
        <v>45904</v>
      </c>
      <c r="E41" s="8">
        <v>45917</v>
      </c>
      <c r="F41">
        <v>329</v>
      </c>
      <c r="G41">
        <v>127</v>
      </c>
      <c r="H41">
        <v>41783</v>
      </c>
      <c r="I41" s="1" t="s">
        <v>649</v>
      </c>
      <c r="J41" s="1" t="s">
        <v>915</v>
      </c>
    </row>
    <row r="42" spans="1:10" x14ac:dyDescent="0.3">
      <c r="A42" s="1" t="s">
        <v>284</v>
      </c>
      <c r="B42" s="1" t="s">
        <v>662</v>
      </c>
      <c r="C42" s="1" t="s">
        <v>16</v>
      </c>
      <c r="D42" s="8">
        <v>46066</v>
      </c>
      <c r="E42" s="8">
        <v>46085</v>
      </c>
      <c r="F42">
        <v>333</v>
      </c>
      <c r="G42">
        <v>433</v>
      </c>
      <c r="H42">
        <v>144189</v>
      </c>
      <c r="I42" s="1" t="s">
        <v>649</v>
      </c>
      <c r="J42" s="1" t="s">
        <v>911</v>
      </c>
    </row>
    <row r="43" spans="1:10" x14ac:dyDescent="0.3">
      <c r="A43" s="1" t="s">
        <v>328</v>
      </c>
      <c r="B43" s="1" t="s">
        <v>676</v>
      </c>
      <c r="C43" s="1" t="s">
        <v>24</v>
      </c>
      <c r="D43" s="8">
        <v>45946</v>
      </c>
      <c r="E43" s="8">
        <v>45965</v>
      </c>
      <c r="F43">
        <v>243</v>
      </c>
      <c r="G43">
        <v>330</v>
      </c>
      <c r="H43">
        <v>80190</v>
      </c>
      <c r="I43" s="1" t="s">
        <v>643</v>
      </c>
      <c r="J43" s="1" t="s">
        <v>915</v>
      </c>
    </row>
    <row r="44" spans="1:10" x14ac:dyDescent="0.3">
      <c r="A44" s="1" t="s">
        <v>312</v>
      </c>
      <c r="B44" s="1" t="s">
        <v>673</v>
      </c>
      <c r="C44" s="1" t="s">
        <v>46</v>
      </c>
      <c r="D44" s="8">
        <v>46076</v>
      </c>
      <c r="E44" s="8">
        <v>46092</v>
      </c>
      <c r="F44">
        <v>420</v>
      </c>
      <c r="G44">
        <v>496</v>
      </c>
      <c r="H44">
        <v>208320</v>
      </c>
      <c r="I44" s="1" t="s">
        <v>643</v>
      </c>
      <c r="J44" s="1" t="s">
        <v>926</v>
      </c>
    </row>
    <row r="45" spans="1:10" x14ac:dyDescent="0.3">
      <c r="A45" s="1" t="s">
        <v>282</v>
      </c>
      <c r="B45" s="1" t="s">
        <v>661</v>
      </c>
      <c r="C45" s="1" t="s">
        <v>8</v>
      </c>
      <c r="D45" s="8">
        <v>45970</v>
      </c>
      <c r="E45" s="8">
        <v>45987</v>
      </c>
      <c r="F45">
        <v>165</v>
      </c>
      <c r="G45">
        <v>100</v>
      </c>
      <c r="H45">
        <v>16500</v>
      </c>
      <c r="I45" s="1" t="s">
        <v>649</v>
      </c>
      <c r="J45" s="1" t="s">
        <v>915</v>
      </c>
    </row>
    <row r="46" spans="1:10" x14ac:dyDescent="0.3">
      <c r="A46" s="1" t="s">
        <v>302</v>
      </c>
      <c r="B46" s="1" t="s">
        <v>661</v>
      </c>
      <c r="C46" s="1" t="s">
        <v>28</v>
      </c>
      <c r="D46" s="8">
        <v>45924</v>
      </c>
      <c r="E46" s="8">
        <v>45931</v>
      </c>
      <c r="F46">
        <v>318</v>
      </c>
      <c r="G46">
        <v>302</v>
      </c>
      <c r="H46">
        <v>96036</v>
      </c>
      <c r="I46" s="1" t="s">
        <v>646</v>
      </c>
      <c r="J46" s="1" t="s">
        <v>915</v>
      </c>
    </row>
    <row r="47" spans="1:10" x14ac:dyDescent="0.3">
      <c r="A47" s="1" t="s">
        <v>286</v>
      </c>
      <c r="B47" s="1" t="s">
        <v>663</v>
      </c>
      <c r="C47" s="1" t="s">
        <v>30</v>
      </c>
      <c r="D47" s="8">
        <v>46136</v>
      </c>
      <c r="E47" s="8">
        <v>46142</v>
      </c>
      <c r="F47">
        <v>173</v>
      </c>
      <c r="G47">
        <v>497</v>
      </c>
      <c r="H47">
        <v>85981</v>
      </c>
      <c r="I47" s="1" t="s">
        <v>643</v>
      </c>
      <c r="J47" s="1" t="s">
        <v>915</v>
      </c>
    </row>
    <row r="48" spans="1:10" x14ac:dyDescent="0.3">
      <c r="A48" s="1" t="s">
        <v>292</v>
      </c>
      <c r="B48" s="1" t="s">
        <v>666</v>
      </c>
      <c r="C48" s="1" t="s">
        <v>33</v>
      </c>
      <c r="D48" s="8">
        <v>45864</v>
      </c>
      <c r="E48" s="8">
        <v>45883</v>
      </c>
      <c r="F48">
        <v>456</v>
      </c>
      <c r="G48">
        <v>155</v>
      </c>
      <c r="H48">
        <v>70680</v>
      </c>
      <c r="I48" s="1" t="s">
        <v>643</v>
      </c>
      <c r="J48" s="1" t="s">
        <v>911</v>
      </c>
    </row>
    <row r="49" spans="1:10" x14ac:dyDescent="0.3">
      <c r="A49" s="1" t="s">
        <v>298</v>
      </c>
      <c r="B49" s="1" t="s">
        <v>669</v>
      </c>
      <c r="C49" s="1" t="s">
        <v>8</v>
      </c>
      <c r="D49" s="8">
        <v>46060</v>
      </c>
      <c r="E49" s="8">
        <v>46076</v>
      </c>
      <c r="F49">
        <v>246</v>
      </c>
      <c r="G49">
        <v>302</v>
      </c>
      <c r="H49">
        <v>74292</v>
      </c>
      <c r="I49" s="1" t="s">
        <v>646</v>
      </c>
      <c r="J49" s="1" t="s">
        <v>915</v>
      </c>
    </row>
    <row r="50" spans="1:10" x14ac:dyDescent="0.3">
      <c r="A50" s="1" t="s">
        <v>332</v>
      </c>
      <c r="B50" s="1" t="s">
        <v>677</v>
      </c>
      <c r="C50" s="1" t="s">
        <v>46</v>
      </c>
      <c r="D50" s="8">
        <v>46038</v>
      </c>
      <c r="E50" s="8">
        <v>46058</v>
      </c>
      <c r="F50">
        <v>493</v>
      </c>
      <c r="G50">
        <v>432</v>
      </c>
      <c r="H50">
        <v>212976</v>
      </c>
      <c r="I50" s="1" t="s">
        <v>643</v>
      </c>
      <c r="J50" s="1" t="s">
        <v>913</v>
      </c>
    </row>
    <row r="51" spans="1:10" x14ac:dyDescent="0.3">
      <c r="A51" s="1" t="s">
        <v>306</v>
      </c>
      <c r="B51" s="1" t="s">
        <v>671</v>
      </c>
      <c r="C51" s="1" t="s">
        <v>11</v>
      </c>
      <c r="D51" s="8">
        <v>46031</v>
      </c>
      <c r="E51" s="8">
        <v>46037</v>
      </c>
      <c r="F51">
        <v>147</v>
      </c>
      <c r="G51">
        <v>361</v>
      </c>
      <c r="H51">
        <v>53067</v>
      </c>
      <c r="I51" s="1" t="s">
        <v>649</v>
      </c>
      <c r="J51" s="1" t="s">
        <v>911</v>
      </c>
    </row>
    <row r="52" spans="1:10" x14ac:dyDescent="0.3">
      <c r="A52" s="1" t="s">
        <v>336</v>
      </c>
      <c r="B52" s="1" t="s">
        <v>678</v>
      </c>
      <c r="C52" s="1" t="s">
        <v>8</v>
      </c>
      <c r="D52" s="8">
        <v>46000</v>
      </c>
      <c r="E52" s="8">
        <v>46012</v>
      </c>
      <c r="F52">
        <v>454</v>
      </c>
      <c r="G52">
        <v>83</v>
      </c>
      <c r="H52">
        <v>37682</v>
      </c>
      <c r="I52" s="1" t="s">
        <v>643</v>
      </c>
      <c r="J52" s="1" t="s">
        <v>915</v>
      </c>
    </row>
    <row r="53" spans="1:10" x14ac:dyDescent="0.3">
      <c r="A53" s="1" t="s">
        <v>338</v>
      </c>
      <c r="B53" s="1" t="s">
        <v>678</v>
      </c>
      <c r="C53" s="1" t="s">
        <v>19</v>
      </c>
      <c r="D53" s="8">
        <v>45884</v>
      </c>
      <c r="E53" s="8">
        <v>45899</v>
      </c>
      <c r="F53">
        <v>229</v>
      </c>
      <c r="G53">
        <v>187</v>
      </c>
      <c r="H53">
        <v>42823</v>
      </c>
      <c r="I53" s="1" t="s">
        <v>649</v>
      </c>
      <c r="J53" s="1" t="s">
        <v>915</v>
      </c>
    </row>
    <row r="54" spans="1:10" x14ac:dyDescent="0.3">
      <c r="A54" s="1" t="s">
        <v>340</v>
      </c>
      <c r="B54" s="1" t="s">
        <v>679</v>
      </c>
      <c r="C54" s="1" t="s">
        <v>30</v>
      </c>
      <c r="D54" s="8">
        <v>45924</v>
      </c>
      <c r="E54" s="8">
        <v>45939</v>
      </c>
      <c r="F54">
        <v>118</v>
      </c>
      <c r="G54">
        <v>235</v>
      </c>
      <c r="H54">
        <v>27730</v>
      </c>
      <c r="I54" s="1" t="s">
        <v>649</v>
      </c>
      <c r="J54" s="1" t="s">
        <v>908</v>
      </c>
    </row>
    <row r="55" spans="1:10" x14ac:dyDescent="0.3">
      <c r="A55" s="1" t="s">
        <v>342</v>
      </c>
      <c r="B55" s="1" t="s">
        <v>642</v>
      </c>
      <c r="C55" s="1" t="s">
        <v>16</v>
      </c>
      <c r="D55" s="8">
        <v>46142</v>
      </c>
      <c r="E55" s="8">
        <v>46162</v>
      </c>
      <c r="F55">
        <v>174</v>
      </c>
      <c r="G55">
        <v>227</v>
      </c>
      <c r="H55">
        <v>39498</v>
      </c>
      <c r="I55" s="1" t="s">
        <v>643</v>
      </c>
      <c r="J55" s="1" t="s">
        <v>913</v>
      </c>
    </row>
    <row r="56" spans="1:10" x14ac:dyDescent="0.3">
      <c r="A56" s="1" t="s">
        <v>344</v>
      </c>
      <c r="B56" s="1" t="s">
        <v>665</v>
      </c>
      <c r="C56" s="1" t="s">
        <v>33</v>
      </c>
      <c r="D56" s="8">
        <v>46191</v>
      </c>
      <c r="E56" s="8">
        <v>46204</v>
      </c>
      <c r="F56">
        <v>127</v>
      </c>
      <c r="G56">
        <v>240</v>
      </c>
      <c r="H56">
        <v>30480</v>
      </c>
      <c r="I56" s="1" t="s">
        <v>643</v>
      </c>
      <c r="J56" s="1" t="s">
        <v>915</v>
      </c>
    </row>
    <row r="57" spans="1:10" x14ac:dyDescent="0.3">
      <c r="A57" s="1" t="s">
        <v>346</v>
      </c>
      <c r="B57" s="1" t="s">
        <v>680</v>
      </c>
      <c r="C57" s="1" t="s">
        <v>33</v>
      </c>
      <c r="D57" s="8">
        <v>46176</v>
      </c>
      <c r="E57" s="8">
        <v>46195</v>
      </c>
      <c r="F57">
        <v>365</v>
      </c>
      <c r="G57">
        <v>129</v>
      </c>
      <c r="H57">
        <v>47085</v>
      </c>
      <c r="I57" s="1" t="s">
        <v>649</v>
      </c>
      <c r="J57" s="1" t="s">
        <v>913</v>
      </c>
    </row>
    <row r="58" spans="1:10" x14ac:dyDescent="0.3">
      <c r="A58" s="1" t="s">
        <v>348</v>
      </c>
      <c r="B58" s="1" t="s">
        <v>674</v>
      </c>
      <c r="C58" s="1" t="s">
        <v>8</v>
      </c>
      <c r="D58" s="8">
        <v>45919</v>
      </c>
      <c r="E58" s="8">
        <v>45931</v>
      </c>
      <c r="F58">
        <v>357</v>
      </c>
      <c r="G58">
        <v>63</v>
      </c>
      <c r="H58">
        <v>22491</v>
      </c>
      <c r="I58" s="1" t="s">
        <v>649</v>
      </c>
      <c r="J58" s="1" t="s">
        <v>911</v>
      </c>
    </row>
    <row r="59" spans="1:10" x14ac:dyDescent="0.3">
      <c r="A59" s="1" t="s">
        <v>350</v>
      </c>
      <c r="B59" s="1" t="s">
        <v>666</v>
      </c>
      <c r="C59" s="1" t="s">
        <v>46</v>
      </c>
      <c r="D59" s="8">
        <v>45961</v>
      </c>
      <c r="E59" s="8">
        <v>45966</v>
      </c>
      <c r="F59">
        <v>337</v>
      </c>
      <c r="G59">
        <v>191</v>
      </c>
      <c r="H59">
        <v>64367</v>
      </c>
      <c r="I59" s="1" t="s">
        <v>649</v>
      </c>
      <c r="J59" s="1" t="s">
        <v>911</v>
      </c>
    </row>
    <row r="60" spans="1:10" x14ac:dyDescent="0.3">
      <c r="A60" s="1" t="s">
        <v>352</v>
      </c>
      <c r="B60" s="1" t="s">
        <v>662</v>
      </c>
      <c r="C60" s="1" t="s">
        <v>30</v>
      </c>
      <c r="D60" s="8">
        <v>45972</v>
      </c>
      <c r="E60" s="8">
        <v>45981</v>
      </c>
      <c r="F60">
        <v>135</v>
      </c>
      <c r="G60">
        <v>432</v>
      </c>
      <c r="H60">
        <v>58320</v>
      </c>
      <c r="I60" s="1" t="s">
        <v>646</v>
      </c>
      <c r="J60" s="1" t="s">
        <v>911</v>
      </c>
    </row>
    <row r="61" spans="1:10" x14ac:dyDescent="0.3">
      <c r="A61" s="1" t="s">
        <v>354</v>
      </c>
      <c r="B61" s="1" t="s">
        <v>670</v>
      </c>
      <c r="C61" s="1" t="s">
        <v>33</v>
      </c>
      <c r="D61" s="8">
        <v>46058</v>
      </c>
      <c r="E61" s="8">
        <v>46063</v>
      </c>
      <c r="F61">
        <v>145</v>
      </c>
      <c r="G61">
        <v>263</v>
      </c>
      <c r="H61">
        <v>38135</v>
      </c>
      <c r="I61" s="1" t="s">
        <v>643</v>
      </c>
      <c r="J61" s="1" t="s">
        <v>913</v>
      </c>
    </row>
    <row r="62" spans="1:10" x14ac:dyDescent="0.3">
      <c r="A62" s="1" t="s">
        <v>356</v>
      </c>
      <c r="B62" s="1" t="s">
        <v>666</v>
      </c>
      <c r="C62" s="1" t="s">
        <v>33</v>
      </c>
      <c r="D62" s="8">
        <v>45982</v>
      </c>
      <c r="E62" s="8">
        <v>45997</v>
      </c>
      <c r="F62">
        <v>314</v>
      </c>
      <c r="G62">
        <v>119</v>
      </c>
      <c r="H62">
        <v>37366</v>
      </c>
      <c r="I62" s="1" t="s">
        <v>643</v>
      </c>
      <c r="J62" s="1" t="s">
        <v>911</v>
      </c>
    </row>
    <row r="63" spans="1:10" x14ac:dyDescent="0.3">
      <c r="A63" s="1" t="s">
        <v>358</v>
      </c>
      <c r="B63" s="1" t="s">
        <v>681</v>
      </c>
      <c r="C63" s="1" t="s">
        <v>24</v>
      </c>
      <c r="D63" s="8">
        <v>45865</v>
      </c>
      <c r="E63" s="8">
        <v>45868</v>
      </c>
      <c r="F63">
        <v>95</v>
      </c>
      <c r="G63">
        <v>355</v>
      </c>
      <c r="H63">
        <v>33725</v>
      </c>
      <c r="I63" s="1" t="s">
        <v>643</v>
      </c>
      <c r="J63" s="1" t="s">
        <v>911</v>
      </c>
    </row>
    <row r="64" spans="1:10" x14ac:dyDescent="0.3">
      <c r="A64" s="1" t="s">
        <v>360</v>
      </c>
      <c r="B64" s="1" t="s">
        <v>675</v>
      </c>
      <c r="C64" s="1" t="s">
        <v>33</v>
      </c>
      <c r="D64" s="8">
        <v>46150</v>
      </c>
      <c r="E64" s="8">
        <v>46169</v>
      </c>
      <c r="F64">
        <v>110</v>
      </c>
      <c r="G64">
        <v>431</v>
      </c>
      <c r="H64">
        <v>47410</v>
      </c>
      <c r="I64" s="1" t="s">
        <v>646</v>
      </c>
      <c r="J64" s="1" t="s">
        <v>915</v>
      </c>
    </row>
    <row r="65" spans="1:10" x14ac:dyDescent="0.3">
      <c r="A65" s="1" t="s">
        <v>362</v>
      </c>
      <c r="B65" s="1" t="s">
        <v>663</v>
      </c>
      <c r="C65" s="1" t="s">
        <v>33</v>
      </c>
      <c r="D65" s="8">
        <v>46146</v>
      </c>
      <c r="E65" s="8">
        <v>46152</v>
      </c>
      <c r="F65">
        <v>147</v>
      </c>
      <c r="G65">
        <v>489</v>
      </c>
      <c r="H65">
        <v>71883</v>
      </c>
      <c r="I65" s="1" t="s">
        <v>646</v>
      </c>
      <c r="J65" s="1" t="s">
        <v>915</v>
      </c>
    </row>
    <row r="66" spans="1:10" x14ac:dyDescent="0.3">
      <c r="A66" s="1" t="s">
        <v>364</v>
      </c>
      <c r="B66" s="1" t="s">
        <v>682</v>
      </c>
      <c r="C66" s="1" t="s">
        <v>14</v>
      </c>
      <c r="D66" s="8">
        <v>46150</v>
      </c>
      <c r="E66" s="8">
        <v>46170</v>
      </c>
      <c r="F66">
        <v>361</v>
      </c>
      <c r="G66">
        <v>291</v>
      </c>
      <c r="H66">
        <v>105051</v>
      </c>
      <c r="I66" s="1" t="s">
        <v>643</v>
      </c>
      <c r="J66" s="1" t="s">
        <v>913</v>
      </c>
    </row>
    <row r="67" spans="1:10" x14ac:dyDescent="0.3">
      <c r="A67" s="1" t="s">
        <v>366</v>
      </c>
      <c r="B67" s="1" t="s">
        <v>651</v>
      </c>
      <c r="C67" s="1" t="s">
        <v>28</v>
      </c>
      <c r="D67" s="8">
        <v>46032</v>
      </c>
      <c r="E67" s="8">
        <v>46051</v>
      </c>
      <c r="F67">
        <v>476</v>
      </c>
      <c r="G67">
        <v>246</v>
      </c>
      <c r="H67">
        <v>117096</v>
      </c>
      <c r="I67" s="1" t="s">
        <v>649</v>
      </c>
      <c r="J67" s="1" t="s">
        <v>908</v>
      </c>
    </row>
    <row r="68" spans="1:10" x14ac:dyDescent="0.3">
      <c r="A68" s="1" t="s">
        <v>368</v>
      </c>
      <c r="B68" s="1" t="s">
        <v>680</v>
      </c>
      <c r="C68" s="1" t="s">
        <v>33</v>
      </c>
      <c r="D68" s="8">
        <v>45857</v>
      </c>
      <c r="E68" s="8">
        <v>45875</v>
      </c>
      <c r="F68">
        <v>479</v>
      </c>
      <c r="G68">
        <v>101</v>
      </c>
      <c r="H68">
        <v>48379</v>
      </c>
      <c r="I68" s="1" t="s">
        <v>643</v>
      </c>
      <c r="J68" s="1" t="s">
        <v>913</v>
      </c>
    </row>
    <row r="69" spans="1:10" x14ac:dyDescent="0.3">
      <c r="A69" s="1" t="s">
        <v>370</v>
      </c>
      <c r="B69" s="1" t="s">
        <v>651</v>
      </c>
      <c r="C69" s="1" t="s">
        <v>8</v>
      </c>
      <c r="D69" s="8">
        <v>45914</v>
      </c>
      <c r="E69" s="8">
        <v>45925</v>
      </c>
      <c r="F69">
        <v>146</v>
      </c>
      <c r="G69">
        <v>450</v>
      </c>
      <c r="H69">
        <v>65700</v>
      </c>
      <c r="I69" s="1" t="s">
        <v>643</v>
      </c>
      <c r="J69" s="1" t="s">
        <v>908</v>
      </c>
    </row>
    <row r="70" spans="1:10" x14ac:dyDescent="0.3">
      <c r="A70" s="1" t="s">
        <v>372</v>
      </c>
      <c r="B70" s="1" t="s">
        <v>666</v>
      </c>
      <c r="C70" s="1" t="s">
        <v>24</v>
      </c>
      <c r="D70" s="8">
        <v>45861</v>
      </c>
      <c r="E70" s="8">
        <v>45878</v>
      </c>
      <c r="F70">
        <v>142</v>
      </c>
      <c r="G70">
        <v>160</v>
      </c>
      <c r="H70">
        <v>22720</v>
      </c>
      <c r="I70" s="1" t="s">
        <v>649</v>
      </c>
      <c r="J70" s="1" t="s">
        <v>911</v>
      </c>
    </row>
    <row r="71" spans="1:10" x14ac:dyDescent="0.3">
      <c r="A71" s="1" t="s">
        <v>374</v>
      </c>
      <c r="B71" s="1" t="s">
        <v>665</v>
      </c>
      <c r="C71" s="1" t="s">
        <v>11</v>
      </c>
      <c r="D71" s="8">
        <v>46009</v>
      </c>
      <c r="E71" s="8">
        <v>46022</v>
      </c>
      <c r="F71">
        <v>140</v>
      </c>
      <c r="G71">
        <v>159</v>
      </c>
      <c r="H71">
        <v>22260</v>
      </c>
      <c r="I71" s="1" t="s">
        <v>649</v>
      </c>
      <c r="J71" s="1" t="s">
        <v>915</v>
      </c>
    </row>
    <row r="72" spans="1:10" x14ac:dyDescent="0.3">
      <c r="A72" s="1" t="s">
        <v>376</v>
      </c>
      <c r="B72" s="1" t="s">
        <v>683</v>
      </c>
      <c r="C72" s="1" t="s">
        <v>28</v>
      </c>
      <c r="D72" s="8">
        <v>46184</v>
      </c>
      <c r="E72" s="8">
        <v>46194</v>
      </c>
      <c r="F72">
        <v>90</v>
      </c>
      <c r="G72">
        <v>97</v>
      </c>
      <c r="H72">
        <v>8730</v>
      </c>
      <c r="I72" s="1" t="s">
        <v>649</v>
      </c>
      <c r="J72" s="1" t="s">
        <v>915</v>
      </c>
    </row>
    <row r="73" spans="1:10" x14ac:dyDescent="0.3">
      <c r="A73" s="1" t="s">
        <v>378</v>
      </c>
      <c r="B73" s="1" t="s">
        <v>684</v>
      </c>
      <c r="C73" s="1" t="s">
        <v>28</v>
      </c>
      <c r="D73" s="8">
        <v>45986</v>
      </c>
      <c r="E73" s="8">
        <v>45991</v>
      </c>
      <c r="F73">
        <v>381</v>
      </c>
      <c r="G73">
        <v>129</v>
      </c>
      <c r="H73">
        <v>49149</v>
      </c>
      <c r="I73" s="1" t="s">
        <v>643</v>
      </c>
      <c r="J73" s="1" t="s">
        <v>926</v>
      </c>
    </row>
    <row r="74" spans="1:10" x14ac:dyDescent="0.3">
      <c r="A74" s="1" t="s">
        <v>380</v>
      </c>
      <c r="B74" s="1" t="s">
        <v>673</v>
      </c>
      <c r="C74" s="1" t="s">
        <v>16</v>
      </c>
      <c r="D74" s="8">
        <v>46085</v>
      </c>
      <c r="E74" s="8">
        <v>46101</v>
      </c>
      <c r="F74">
        <v>297</v>
      </c>
      <c r="G74">
        <v>258</v>
      </c>
      <c r="H74">
        <v>76626</v>
      </c>
      <c r="I74" s="1" t="s">
        <v>646</v>
      </c>
      <c r="J74" s="1" t="s">
        <v>926</v>
      </c>
    </row>
    <row r="75" spans="1:10" x14ac:dyDescent="0.3">
      <c r="A75" s="1" t="s">
        <v>382</v>
      </c>
      <c r="B75" s="1" t="s">
        <v>645</v>
      </c>
      <c r="C75" s="1" t="s">
        <v>14</v>
      </c>
      <c r="D75" s="8">
        <v>46200</v>
      </c>
      <c r="E75" s="8">
        <v>46203</v>
      </c>
      <c r="F75">
        <v>219</v>
      </c>
      <c r="G75">
        <v>483</v>
      </c>
      <c r="H75">
        <v>105777</v>
      </c>
      <c r="I75" s="1" t="s">
        <v>643</v>
      </c>
      <c r="J75" s="1" t="s">
        <v>913</v>
      </c>
    </row>
    <row r="76" spans="1:10" x14ac:dyDescent="0.3">
      <c r="A76" s="1" t="s">
        <v>384</v>
      </c>
      <c r="B76" s="1" t="s">
        <v>652</v>
      </c>
      <c r="C76" s="1" t="s">
        <v>28</v>
      </c>
      <c r="D76" s="8">
        <v>46190</v>
      </c>
      <c r="E76" s="8">
        <v>46202</v>
      </c>
      <c r="F76">
        <v>23</v>
      </c>
      <c r="G76">
        <v>200</v>
      </c>
      <c r="H76">
        <v>4600</v>
      </c>
      <c r="I76" s="1" t="s">
        <v>643</v>
      </c>
      <c r="J76" s="1" t="s">
        <v>911</v>
      </c>
    </row>
    <row r="77" spans="1:10" x14ac:dyDescent="0.3">
      <c r="A77" s="1" t="s">
        <v>386</v>
      </c>
      <c r="B77" s="1" t="s">
        <v>655</v>
      </c>
      <c r="C77" s="1" t="s">
        <v>14</v>
      </c>
      <c r="D77" s="8">
        <v>46134</v>
      </c>
      <c r="E77" s="8">
        <v>46154</v>
      </c>
      <c r="F77">
        <v>402</v>
      </c>
      <c r="G77">
        <v>396</v>
      </c>
      <c r="H77">
        <v>159192</v>
      </c>
      <c r="I77" s="1" t="s">
        <v>646</v>
      </c>
      <c r="J77" s="1" t="s">
        <v>911</v>
      </c>
    </row>
    <row r="78" spans="1:10" x14ac:dyDescent="0.3">
      <c r="A78" s="1" t="s">
        <v>388</v>
      </c>
      <c r="B78" s="1" t="s">
        <v>685</v>
      </c>
      <c r="C78" s="1" t="s">
        <v>33</v>
      </c>
      <c r="D78" s="8">
        <v>45925</v>
      </c>
      <c r="E78" s="8">
        <v>45941</v>
      </c>
      <c r="F78">
        <v>132</v>
      </c>
      <c r="G78">
        <v>159</v>
      </c>
      <c r="H78">
        <v>20988</v>
      </c>
      <c r="I78" s="1" t="s">
        <v>646</v>
      </c>
      <c r="J78" s="1" t="s">
        <v>911</v>
      </c>
    </row>
    <row r="79" spans="1:10" x14ac:dyDescent="0.3">
      <c r="A79" s="1" t="s">
        <v>390</v>
      </c>
      <c r="B79" s="1" t="s">
        <v>653</v>
      </c>
      <c r="C79" s="1" t="s">
        <v>30</v>
      </c>
      <c r="D79" s="8">
        <v>46087</v>
      </c>
      <c r="E79" s="8">
        <v>46102</v>
      </c>
      <c r="F79">
        <v>192</v>
      </c>
      <c r="G79">
        <v>362</v>
      </c>
      <c r="H79">
        <v>69504</v>
      </c>
      <c r="I79" s="1" t="s">
        <v>643</v>
      </c>
      <c r="J79" s="1" t="s">
        <v>911</v>
      </c>
    </row>
    <row r="80" spans="1:10" x14ac:dyDescent="0.3">
      <c r="A80" s="1" t="s">
        <v>392</v>
      </c>
      <c r="B80" s="1" t="s">
        <v>679</v>
      </c>
      <c r="C80" s="1" t="s">
        <v>28</v>
      </c>
      <c r="D80" s="8">
        <v>45987</v>
      </c>
      <c r="E80" s="8">
        <v>45990</v>
      </c>
      <c r="F80">
        <v>338</v>
      </c>
      <c r="G80">
        <v>293</v>
      </c>
      <c r="H80">
        <v>99034</v>
      </c>
      <c r="I80" s="1" t="s">
        <v>649</v>
      </c>
      <c r="J80" s="1" t="s">
        <v>908</v>
      </c>
    </row>
    <row r="81" spans="1:10" x14ac:dyDescent="0.3">
      <c r="A81" s="1" t="s">
        <v>394</v>
      </c>
      <c r="B81" s="1" t="s">
        <v>642</v>
      </c>
      <c r="C81" s="1" t="s">
        <v>28</v>
      </c>
      <c r="D81" s="8">
        <v>45882</v>
      </c>
      <c r="E81" s="8">
        <v>45887</v>
      </c>
      <c r="F81">
        <v>359</v>
      </c>
      <c r="G81">
        <v>33</v>
      </c>
      <c r="H81">
        <v>11847</v>
      </c>
      <c r="I81" s="1" t="s">
        <v>646</v>
      </c>
      <c r="J81" s="1" t="s">
        <v>913</v>
      </c>
    </row>
    <row r="82" spans="1:10" x14ac:dyDescent="0.3">
      <c r="A82" s="1" t="s">
        <v>396</v>
      </c>
      <c r="B82" s="1" t="s">
        <v>682</v>
      </c>
      <c r="C82" s="1" t="s">
        <v>28</v>
      </c>
      <c r="D82" s="8">
        <v>46028</v>
      </c>
      <c r="E82" s="8">
        <v>46039</v>
      </c>
      <c r="F82">
        <v>113</v>
      </c>
      <c r="G82">
        <v>45</v>
      </c>
      <c r="H82">
        <v>5085</v>
      </c>
      <c r="I82" s="1" t="s">
        <v>643</v>
      </c>
      <c r="J82" s="1" t="s">
        <v>913</v>
      </c>
    </row>
    <row r="83" spans="1:10" x14ac:dyDescent="0.3">
      <c r="A83" s="1" t="s">
        <v>398</v>
      </c>
      <c r="B83" s="1" t="s">
        <v>659</v>
      </c>
      <c r="C83" s="1" t="s">
        <v>28</v>
      </c>
      <c r="D83" s="8">
        <v>46163</v>
      </c>
      <c r="E83" s="8">
        <v>46176</v>
      </c>
      <c r="F83">
        <v>252</v>
      </c>
      <c r="G83">
        <v>187</v>
      </c>
      <c r="H83">
        <v>47124</v>
      </c>
      <c r="I83" s="1" t="s">
        <v>643</v>
      </c>
      <c r="J83" s="1" t="s">
        <v>911</v>
      </c>
    </row>
    <row r="84" spans="1:10" x14ac:dyDescent="0.3">
      <c r="A84" s="1" t="s">
        <v>400</v>
      </c>
      <c r="B84" s="1" t="s">
        <v>651</v>
      </c>
      <c r="C84" s="1" t="s">
        <v>24</v>
      </c>
      <c r="D84" s="8">
        <v>46148</v>
      </c>
      <c r="E84" s="8">
        <v>46159</v>
      </c>
      <c r="F84">
        <v>445</v>
      </c>
      <c r="G84">
        <v>235</v>
      </c>
      <c r="H84">
        <v>104575</v>
      </c>
      <c r="I84" s="1" t="s">
        <v>643</v>
      </c>
      <c r="J84" s="1" t="s">
        <v>908</v>
      </c>
    </row>
    <row r="85" spans="1:10" x14ac:dyDescent="0.3">
      <c r="A85" s="1" t="s">
        <v>402</v>
      </c>
      <c r="B85" s="1" t="s">
        <v>686</v>
      </c>
      <c r="C85" s="1" t="s">
        <v>11</v>
      </c>
      <c r="D85" s="8">
        <v>46140</v>
      </c>
      <c r="E85" s="8">
        <v>46144</v>
      </c>
      <c r="F85">
        <v>403</v>
      </c>
      <c r="G85">
        <v>296</v>
      </c>
      <c r="H85">
        <v>119288</v>
      </c>
      <c r="I85" s="1" t="s">
        <v>646</v>
      </c>
      <c r="J85" s="1" t="s">
        <v>911</v>
      </c>
    </row>
    <row r="86" spans="1:10" x14ac:dyDescent="0.3">
      <c r="A86" s="1" t="s">
        <v>404</v>
      </c>
      <c r="B86" s="1" t="s">
        <v>687</v>
      </c>
      <c r="C86" s="1" t="s">
        <v>16</v>
      </c>
      <c r="D86" s="8">
        <v>46065</v>
      </c>
      <c r="E86" s="8">
        <v>46069</v>
      </c>
      <c r="F86">
        <v>55</v>
      </c>
      <c r="G86">
        <v>419</v>
      </c>
      <c r="H86">
        <v>23045</v>
      </c>
      <c r="I86" s="1" t="s">
        <v>646</v>
      </c>
      <c r="J86" s="1" t="s">
        <v>926</v>
      </c>
    </row>
    <row r="87" spans="1:10" x14ac:dyDescent="0.3">
      <c r="A87" s="1" t="s">
        <v>406</v>
      </c>
      <c r="B87" s="1" t="s">
        <v>644</v>
      </c>
      <c r="C87" s="1" t="s">
        <v>46</v>
      </c>
      <c r="D87" s="8">
        <v>46175</v>
      </c>
      <c r="E87" s="8">
        <v>46182</v>
      </c>
      <c r="F87">
        <v>449</v>
      </c>
      <c r="G87">
        <v>30</v>
      </c>
      <c r="H87">
        <v>13470</v>
      </c>
      <c r="I87" s="1" t="s">
        <v>646</v>
      </c>
      <c r="J87" s="1" t="s">
        <v>913</v>
      </c>
    </row>
    <row r="88" spans="1:10" x14ac:dyDescent="0.3">
      <c r="A88" s="1" t="s">
        <v>408</v>
      </c>
      <c r="B88" s="1" t="s">
        <v>652</v>
      </c>
      <c r="C88" s="1" t="s">
        <v>33</v>
      </c>
      <c r="D88" s="8">
        <v>46055</v>
      </c>
      <c r="E88" s="8">
        <v>46064</v>
      </c>
      <c r="F88">
        <v>362</v>
      </c>
      <c r="G88">
        <v>78</v>
      </c>
      <c r="H88">
        <v>28236</v>
      </c>
      <c r="I88" s="1" t="s">
        <v>649</v>
      </c>
      <c r="J88" s="1" t="s">
        <v>911</v>
      </c>
    </row>
    <row r="89" spans="1:10" x14ac:dyDescent="0.3">
      <c r="A89" s="1" t="s">
        <v>410</v>
      </c>
      <c r="B89" s="1" t="s">
        <v>660</v>
      </c>
      <c r="C89" s="1" t="s">
        <v>14</v>
      </c>
      <c r="D89" s="8">
        <v>45926</v>
      </c>
      <c r="E89" s="8">
        <v>45934</v>
      </c>
      <c r="F89">
        <v>412</v>
      </c>
      <c r="G89">
        <v>208</v>
      </c>
      <c r="H89">
        <v>85696</v>
      </c>
      <c r="I89" s="1" t="s">
        <v>649</v>
      </c>
      <c r="J89" s="1" t="s">
        <v>915</v>
      </c>
    </row>
    <row r="90" spans="1:10" x14ac:dyDescent="0.3">
      <c r="A90" s="1" t="s">
        <v>412</v>
      </c>
      <c r="B90" s="1" t="s">
        <v>669</v>
      </c>
      <c r="C90" s="1" t="s">
        <v>19</v>
      </c>
      <c r="D90" s="8">
        <v>46059</v>
      </c>
      <c r="E90" s="8">
        <v>46067</v>
      </c>
      <c r="F90">
        <v>387</v>
      </c>
      <c r="G90">
        <v>78</v>
      </c>
      <c r="H90">
        <v>30186</v>
      </c>
      <c r="I90" s="1" t="s">
        <v>646</v>
      </c>
      <c r="J90" s="1" t="s">
        <v>915</v>
      </c>
    </row>
    <row r="91" spans="1:10" x14ac:dyDescent="0.3">
      <c r="A91" s="1" t="s">
        <v>414</v>
      </c>
      <c r="B91" s="1" t="s">
        <v>656</v>
      </c>
      <c r="C91" s="1" t="s">
        <v>14</v>
      </c>
      <c r="D91" s="8">
        <v>45993</v>
      </c>
      <c r="E91" s="8">
        <v>46005</v>
      </c>
      <c r="F91">
        <v>33</v>
      </c>
      <c r="G91">
        <v>495</v>
      </c>
      <c r="H91">
        <v>16335</v>
      </c>
      <c r="I91" s="1" t="s">
        <v>649</v>
      </c>
      <c r="J91" s="1" t="s">
        <v>926</v>
      </c>
    </row>
    <row r="92" spans="1:10" x14ac:dyDescent="0.3">
      <c r="A92" s="1" t="s">
        <v>416</v>
      </c>
      <c r="B92" s="1" t="s">
        <v>653</v>
      </c>
      <c r="C92" s="1" t="s">
        <v>24</v>
      </c>
      <c r="D92" s="8">
        <v>45853</v>
      </c>
      <c r="E92" s="8">
        <v>45862</v>
      </c>
      <c r="F92">
        <v>223</v>
      </c>
      <c r="G92">
        <v>386</v>
      </c>
      <c r="H92">
        <v>86078</v>
      </c>
      <c r="I92" s="1" t="s">
        <v>649</v>
      </c>
      <c r="J92" s="1" t="s">
        <v>911</v>
      </c>
    </row>
    <row r="93" spans="1:10" x14ac:dyDescent="0.3">
      <c r="A93" s="1" t="s">
        <v>418</v>
      </c>
      <c r="B93" s="1" t="s">
        <v>688</v>
      </c>
      <c r="C93" s="1" t="s">
        <v>24</v>
      </c>
      <c r="D93" s="8">
        <v>46133</v>
      </c>
      <c r="E93" s="8">
        <v>46143</v>
      </c>
      <c r="F93">
        <v>445</v>
      </c>
      <c r="G93">
        <v>341</v>
      </c>
      <c r="H93">
        <v>151745</v>
      </c>
      <c r="I93" s="1" t="s">
        <v>649</v>
      </c>
      <c r="J93" s="1" t="s">
        <v>964</v>
      </c>
    </row>
    <row r="94" spans="1:10" x14ac:dyDescent="0.3">
      <c r="A94" s="1" t="s">
        <v>420</v>
      </c>
      <c r="B94" s="1" t="s">
        <v>689</v>
      </c>
      <c r="C94" s="1" t="s">
        <v>14</v>
      </c>
      <c r="D94" s="8">
        <v>46048</v>
      </c>
      <c r="E94" s="8">
        <v>46054</v>
      </c>
      <c r="F94">
        <v>174</v>
      </c>
      <c r="G94">
        <v>455</v>
      </c>
      <c r="H94">
        <v>79170</v>
      </c>
      <c r="I94" s="1" t="s">
        <v>646</v>
      </c>
      <c r="J94" s="1" t="s">
        <v>915</v>
      </c>
    </row>
    <row r="95" spans="1:10" x14ac:dyDescent="0.3">
      <c r="A95" s="1" t="s">
        <v>422</v>
      </c>
      <c r="B95" s="1" t="s">
        <v>690</v>
      </c>
      <c r="C95" s="1" t="s">
        <v>24</v>
      </c>
      <c r="D95" s="8">
        <v>46003</v>
      </c>
      <c r="E95" s="8">
        <v>46017</v>
      </c>
      <c r="F95">
        <v>292</v>
      </c>
      <c r="G95">
        <v>239</v>
      </c>
      <c r="H95">
        <v>69788</v>
      </c>
      <c r="I95" s="1" t="s">
        <v>649</v>
      </c>
      <c r="J95" s="1" t="s">
        <v>915</v>
      </c>
    </row>
    <row r="96" spans="1:10" x14ac:dyDescent="0.3">
      <c r="A96" s="1" t="s">
        <v>424</v>
      </c>
      <c r="B96" s="1" t="s">
        <v>687</v>
      </c>
      <c r="C96" s="1" t="s">
        <v>33</v>
      </c>
      <c r="D96" s="8">
        <v>46042</v>
      </c>
      <c r="E96" s="8">
        <v>46058</v>
      </c>
      <c r="F96">
        <v>194</v>
      </c>
      <c r="G96">
        <v>26</v>
      </c>
      <c r="H96">
        <v>5044</v>
      </c>
      <c r="I96" s="1" t="s">
        <v>646</v>
      </c>
      <c r="J96" s="1" t="s">
        <v>926</v>
      </c>
    </row>
    <row r="97" spans="1:10" x14ac:dyDescent="0.3">
      <c r="A97" s="1" t="s">
        <v>426</v>
      </c>
      <c r="B97" s="1" t="s">
        <v>654</v>
      </c>
      <c r="C97" s="1" t="s">
        <v>30</v>
      </c>
      <c r="D97" s="8">
        <v>45915</v>
      </c>
      <c r="E97" s="8">
        <v>45932</v>
      </c>
      <c r="F97">
        <v>205</v>
      </c>
      <c r="G97">
        <v>345</v>
      </c>
      <c r="H97">
        <v>70725</v>
      </c>
      <c r="I97" s="1" t="s">
        <v>643</v>
      </c>
      <c r="J97" s="1" t="s">
        <v>908</v>
      </c>
    </row>
    <row r="98" spans="1:10" x14ac:dyDescent="0.3">
      <c r="A98" s="1" t="s">
        <v>428</v>
      </c>
      <c r="B98" s="1" t="s">
        <v>672</v>
      </c>
      <c r="C98" s="1" t="s">
        <v>14</v>
      </c>
      <c r="D98" s="8">
        <v>46174</v>
      </c>
      <c r="E98" s="8">
        <v>46185</v>
      </c>
      <c r="F98">
        <v>395</v>
      </c>
      <c r="G98">
        <v>287</v>
      </c>
      <c r="H98">
        <v>113365</v>
      </c>
      <c r="I98" s="1" t="s">
        <v>649</v>
      </c>
      <c r="J98" s="1" t="s">
        <v>908</v>
      </c>
    </row>
    <row r="99" spans="1:10" x14ac:dyDescent="0.3">
      <c r="A99" s="1" t="s">
        <v>430</v>
      </c>
      <c r="B99" s="1" t="s">
        <v>689</v>
      </c>
      <c r="C99" s="1" t="s">
        <v>14</v>
      </c>
      <c r="D99" s="8">
        <v>46182</v>
      </c>
      <c r="E99" s="8">
        <v>46198</v>
      </c>
      <c r="F99">
        <v>267</v>
      </c>
      <c r="G99">
        <v>258</v>
      </c>
      <c r="H99">
        <v>68886</v>
      </c>
      <c r="I99" s="1" t="s">
        <v>643</v>
      </c>
      <c r="J99" s="1" t="s">
        <v>915</v>
      </c>
    </row>
    <row r="100" spans="1:10" x14ac:dyDescent="0.3">
      <c r="A100" s="1" t="s">
        <v>432</v>
      </c>
      <c r="B100" s="1" t="s">
        <v>676</v>
      </c>
      <c r="C100" s="1" t="s">
        <v>19</v>
      </c>
      <c r="D100" s="8">
        <v>45878</v>
      </c>
      <c r="E100" s="8">
        <v>45883</v>
      </c>
      <c r="F100">
        <v>456</v>
      </c>
      <c r="G100">
        <v>145</v>
      </c>
      <c r="H100">
        <v>66120</v>
      </c>
      <c r="I100" s="1" t="s">
        <v>643</v>
      </c>
      <c r="J100" s="1" t="s">
        <v>915</v>
      </c>
    </row>
    <row r="101" spans="1:10" x14ac:dyDescent="0.3">
      <c r="A101" s="1" t="s">
        <v>434</v>
      </c>
      <c r="B101" s="1" t="s">
        <v>681</v>
      </c>
      <c r="C101" s="1" t="s">
        <v>11</v>
      </c>
      <c r="D101" s="8">
        <v>46115</v>
      </c>
      <c r="E101" s="8">
        <v>46130</v>
      </c>
      <c r="F101">
        <v>404</v>
      </c>
      <c r="G101">
        <v>257</v>
      </c>
      <c r="H101">
        <v>103828</v>
      </c>
      <c r="I101" s="1" t="s">
        <v>646</v>
      </c>
      <c r="J101" s="1" t="s">
        <v>911</v>
      </c>
    </row>
    <row r="102" spans="1:10" x14ac:dyDescent="0.3">
      <c r="A102" s="1" t="s">
        <v>436</v>
      </c>
      <c r="B102" s="1" t="s">
        <v>685</v>
      </c>
      <c r="C102" s="1" t="s">
        <v>33</v>
      </c>
      <c r="D102" s="8">
        <v>46170</v>
      </c>
      <c r="E102" s="8">
        <v>46178</v>
      </c>
      <c r="F102">
        <v>455</v>
      </c>
      <c r="G102">
        <v>186</v>
      </c>
      <c r="H102">
        <v>84630</v>
      </c>
      <c r="I102" s="1" t="s">
        <v>646</v>
      </c>
      <c r="J102" s="1" t="s">
        <v>911</v>
      </c>
    </row>
    <row r="103" spans="1:10" x14ac:dyDescent="0.3">
      <c r="A103" s="1" t="s">
        <v>438</v>
      </c>
      <c r="B103" s="1" t="s">
        <v>690</v>
      </c>
      <c r="C103" s="1" t="s">
        <v>19</v>
      </c>
      <c r="D103" s="8">
        <v>46179</v>
      </c>
      <c r="E103" s="8">
        <v>46192</v>
      </c>
      <c r="F103">
        <v>428</v>
      </c>
      <c r="G103">
        <v>152</v>
      </c>
      <c r="H103">
        <v>65056</v>
      </c>
      <c r="I103" s="1" t="s">
        <v>649</v>
      </c>
      <c r="J103" s="1" t="s">
        <v>915</v>
      </c>
    </row>
    <row r="104" spans="1:10" x14ac:dyDescent="0.3">
      <c r="A104" s="1" t="s">
        <v>440</v>
      </c>
      <c r="B104" s="1" t="s">
        <v>688</v>
      </c>
      <c r="C104" s="1" t="s">
        <v>16</v>
      </c>
      <c r="D104" s="8">
        <v>45911</v>
      </c>
      <c r="E104" s="8">
        <v>45931</v>
      </c>
      <c r="F104">
        <v>470</v>
      </c>
      <c r="G104">
        <v>161</v>
      </c>
      <c r="H104">
        <v>75670</v>
      </c>
      <c r="I104" s="1" t="s">
        <v>649</v>
      </c>
      <c r="J104" s="1" t="s">
        <v>964</v>
      </c>
    </row>
    <row r="105" spans="1:10" x14ac:dyDescent="0.3">
      <c r="A105" s="1" t="s">
        <v>442</v>
      </c>
      <c r="B105" s="1" t="s">
        <v>644</v>
      </c>
      <c r="C105" s="1" t="s">
        <v>33</v>
      </c>
      <c r="D105" s="8">
        <v>46147</v>
      </c>
      <c r="E105" s="8">
        <v>46163</v>
      </c>
      <c r="F105">
        <v>63</v>
      </c>
      <c r="G105">
        <v>143</v>
      </c>
      <c r="H105">
        <v>9009</v>
      </c>
      <c r="I105" s="1" t="s">
        <v>649</v>
      </c>
      <c r="J105" s="1" t="s">
        <v>913</v>
      </c>
    </row>
    <row r="106" spans="1:10" x14ac:dyDescent="0.3">
      <c r="A106" s="1" t="s">
        <v>444</v>
      </c>
      <c r="B106" s="1" t="s">
        <v>651</v>
      </c>
      <c r="C106" s="1" t="s">
        <v>33</v>
      </c>
      <c r="D106" s="8">
        <v>45847</v>
      </c>
      <c r="E106" s="8">
        <v>45865</v>
      </c>
      <c r="F106">
        <v>143</v>
      </c>
      <c r="G106">
        <v>373</v>
      </c>
      <c r="H106">
        <v>53339</v>
      </c>
      <c r="I106" s="1" t="s">
        <v>643</v>
      </c>
      <c r="J106" s="1" t="s">
        <v>908</v>
      </c>
    </row>
    <row r="107" spans="1:10" x14ac:dyDescent="0.3">
      <c r="A107" s="1" t="s">
        <v>446</v>
      </c>
      <c r="B107" s="1" t="s">
        <v>686</v>
      </c>
      <c r="C107" s="1" t="s">
        <v>28</v>
      </c>
      <c r="D107" s="8">
        <v>46063</v>
      </c>
      <c r="E107" s="8">
        <v>46073</v>
      </c>
      <c r="F107">
        <v>67</v>
      </c>
      <c r="G107">
        <v>170</v>
      </c>
      <c r="H107">
        <v>11390</v>
      </c>
      <c r="I107" s="1" t="s">
        <v>649</v>
      </c>
      <c r="J107" s="1" t="s">
        <v>911</v>
      </c>
    </row>
    <row r="108" spans="1:10" x14ac:dyDescent="0.3">
      <c r="A108" s="1" t="s">
        <v>448</v>
      </c>
      <c r="B108" s="1" t="s">
        <v>681</v>
      </c>
      <c r="C108" s="1" t="s">
        <v>33</v>
      </c>
      <c r="D108" s="8">
        <v>45967</v>
      </c>
      <c r="E108" s="8">
        <v>45981</v>
      </c>
      <c r="F108">
        <v>176</v>
      </c>
      <c r="G108">
        <v>359</v>
      </c>
      <c r="H108">
        <v>63184</v>
      </c>
      <c r="I108" s="1" t="s">
        <v>649</v>
      </c>
      <c r="J108" s="1" t="s">
        <v>911</v>
      </c>
    </row>
    <row r="109" spans="1:10" x14ac:dyDescent="0.3">
      <c r="A109" s="1" t="s">
        <v>450</v>
      </c>
      <c r="B109" s="1" t="s">
        <v>677</v>
      </c>
      <c r="C109" s="1" t="s">
        <v>11</v>
      </c>
      <c r="D109" s="8">
        <v>46174</v>
      </c>
      <c r="E109" s="8">
        <v>46194</v>
      </c>
      <c r="F109">
        <v>196</v>
      </c>
      <c r="G109">
        <v>237</v>
      </c>
      <c r="H109">
        <v>46452</v>
      </c>
      <c r="I109" s="1" t="s">
        <v>643</v>
      </c>
      <c r="J109" s="1" t="s">
        <v>913</v>
      </c>
    </row>
    <row r="110" spans="1:10" x14ac:dyDescent="0.3">
      <c r="A110" s="1" t="s">
        <v>452</v>
      </c>
      <c r="B110" s="1" t="s">
        <v>688</v>
      </c>
      <c r="C110" s="1" t="s">
        <v>19</v>
      </c>
      <c r="D110" s="8">
        <v>45902</v>
      </c>
      <c r="E110" s="8">
        <v>45914</v>
      </c>
      <c r="F110">
        <v>252</v>
      </c>
      <c r="G110">
        <v>158</v>
      </c>
      <c r="H110">
        <v>39816</v>
      </c>
      <c r="I110" s="1" t="s">
        <v>646</v>
      </c>
      <c r="J110" s="1" t="s">
        <v>964</v>
      </c>
    </row>
    <row r="111" spans="1:10" x14ac:dyDescent="0.3">
      <c r="A111" s="1" t="s">
        <v>454</v>
      </c>
      <c r="B111" s="1" t="s">
        <v>664</v>
      </c>
      <c r="C111" s="1" t="s">
        <v>24</v>
      </c>
      <c r="D111" s="8">
        <v>46024</v>
      </c>
      <c r="E111" s="8">
        <v>46037</v>
      </c>
      <c r="F111">
        <v>389</v>
      </c>
      <c r="G111">
        <v>118</v>
      </c>
      <c r="H111">
        <v>45902</v>
      </c>
      <c r="I111" s="1" t="s">
        <v>649</v>
      </c>
      <c r="J111" s="1" t="s">
        <v>915</v>
      </c>
    </row>
    <row r="112" spans="1:10" x14ac:dyDescent="0.3">
      <c r="A112" s="1" t="s">
        <v>456</v>
      </c>
      <c r="B112" s="1" t="s">
        <v>655</v>
      </c>
      <c r="C112" s="1" t="s">
        <v>46</v>
      </c>
      <c r="D112" s="8">
        <v>46076</v>
      </c>
      <c r="E112" s="8">
        <v>46084</v>
      </c>
      <c r="F112">
        <v>410</v>
      </c>
      <c r="G112">
        <v>373</v>
      </c>
      <c r="H112">
        <v>152930</v>
      </c>
      <c r="I112" s="1" t="s">
        <v>646</v>
      </c>
      <c r="J112" s="1" t="s">
        <v>911</v>
      </c>
    </row>
    <row r="113" spans="1:10" x14ac:dyDescent="0.3">
      <c r="A113" s="1" t="s">
        <v>458</v>
      </c>
      <c r="B113" s="1" t="s">
        <v>669</v>
      </c>
      <c r="C113" s="1" t="s">
        <v>14</v>
      </c>
      <c r="D113" s="8">
        <v>46054</v>
      </c>
      <c r="E113" s="8">
        <v>46073</v>
      </c>
      <c r="F113">
        <v>267</v>
      </c>
      <c r="G113">
        <v>161</v>
      </c>
      <c r="H113">
        <v>42987</v>
      </c>
      <c r="I113" s="1" t="s">
        <v>643</v>
      </c>
      <c r="J113" s="1" t="s">
        <v>915</v>
      </c>
    </row>
    <row r="114" spans="1:10" x14ac:dyDescent="0.3">
      <c r="A114" s="1" t="s">
        <v>460</v>
      </c>
      <c r="B114" s="1" t="s">
        <v>650</v>
      </c>
      <c r="C114" s="1" t="s">
        <v>46</v>
      </c>
      <c r="D114" s="8">
        <v>45839</v>
      </c>
      <c r="E114" s="8">
        <v>45851</v>
      </c>
      <c r="F114">
        <v>446</v>
      </c>
      <c r="G114">
        <v>119</v>
      </c>
      <c r="H114">
        <v>53074</v>
      </c>
      <c r="I114" s="1" t="s">
        <v>643</v>
      </c>
      <c r="J114" s="1" t="s">
        <v>915</v>
      </c>
    </row>
    <row r="115" spans="1:10" x14ac:dyDescent="0.3">
      <c r="A115" s="1" t="s">
        <v>462</v>
      </c>
      <c r="B115" s="1" t="s">
        <v>672</v>
      </c>
      <c r="C115" s="1" t="s">
        <v>30</v>
      </c>
      <c r="D115" s="8">
        <v>45863</v>
      </c>
      <c r="E115" s="8">
        <v>45883</v>
      </c>
      <c r="F115">
        <v>174</v>
      </c>
      <c r="G115">
        <v>27</v>
      </c>
      <c r="H115">
        <v>4698</v>
      </c>
      <c r="I115" s="1" t="s">
        <v>643</v>
      </c>
      <c r="J115" s="1" t="s">
        <v>908</v>
      </c>
    </row>
    <row r="116" spans="1:10" x14ac:dyDescent="0.3">
      <c r="A116" s="1" t="s">
        <v>464</v>
      </c>
      <c r="B116" s="1" t="s">
        <v>670</v>
      </c>
      <c r="C116" s="1" t="s">
        <v>30</v>
      </c>
      <c r="D116" s="8">
        <v>46141</v>
      </c>
      <c r="E116" s="8">
        <v>46153</v>
      </c>
      <c r="F116">
        <v>47</v>
      </c>
      <c r="G116">
        <v>303</v>
      </c>
      <c r="H116">
        <v>14241</v>
      </c>
      <c r="I116" s="1" t="s">
        <v>649</v>
      </c>
      <c r="J116" s="1" t="s">
        <v>913</v>
      </c>
    </row>
    <row r="117" spans="1:10" x14ac:dyDescent="0.3">
      <c r="A117" s="1" t="s">
        <v>466</v>
      </c>
      <c r="B117" s="1" t="s">
        <v>651</v>
      </c>
      <c r="C117" s="1" t="s">
        <v>14</v>
      </c>
      <c r="D117" s="8">
        <v>46075</v>
      </c>
      <c r="E117" s="8">
        <v>46078</v>
      </c>
      <c r="F117">
        <v>271</v>
      </c>
      <c r="G117">
        <v>72</v>
      </c>
      <c r="H117">
        <v>19512</v>
      </c>
      <c r="I117" s="1" t="s">
        <v>643</v>
      </c>
      <c r="J117" s="1" t="s">
        <v>908</v>
      </c>
    </row>
    <row r="118" spans="1:10" x14ac:dyDescent="0.3">
      <c r="A118" s="1" t="s">
        <v>468</v>
      </c>
      <c r="B118" s="1" t="s">
        <v>652</v>
      </c>
      <c r="C118" s="1" t="s">
        <v>30</v>
      </c>
      <c r="D118" s="8">
        <v>45864</v>
      </c>
      <c r="E118" s="8">
        <v>45877</v>
      </c>
      <c r="F118">
        <v>265</v>
      </c>
      <c r="G118">
        <v>245</v>
      </c>
      <c r="H118">
        <v>64925</v>
      </c>
      <c r="I118" s="1" t="s">
        <v>646</v>
      </c>
      <c r="J118" s="1" t="s">
        <v>911</v>
      </c>
    </row>
    <row r="119" spans="1:10" x14ac:dyDescent="0.3">
      <c r="A119" s="1" t="s">
        <v>470</v>
      </c>
      <c r="B119" s="1" t="s">
        <v>660</v>
      </c>
      <c r="C119" s="1" t="s">
        <v>24</v>
      </c>
      <c r="D119" s="8">
        <v>46163</v>
      </c>
      <c r="E119" s="8">
        <v>46169</v>
      </c>
      <c r="F119">
        <v>461</v>
      </c>
      <c r="G119">
        <v>264</v>
      </c>
      <c r="H119">
        <v>121704</v>
      </c>
      <c r="I119" s="1" t="s">
        <v>643</v>
      </c>
      <c r="J119" s="1" t="s">
        <v>915</v>
      </c>
    </row>
    <row r="120" spans="1:10" x14ac:dyDescent="0.3">
      <c r="A120" s="1" t="s">
        <v>472</v>
      </c>
      <c r="B120" s="1" t="s">
        <v>685</v>
      </c>
      <c r="C120" s="1" t="s">
        <v>30</v>
      </c>
      <c r="D120" s="8">
        <v>45850</v>
      </c>
      <c r="E120" s="8">
        <v>45854</v>
      </c>
      <c r="F120">
        <v>57</v>
      </c>
      <c r="G120">
        <v>315</v>
      </c>
      <c r="H120">
        <v>17955</v>
      </c>
      <c r="I120" s="1" t="s">
        <v>646</v>
      </c>
      <c r="J120" s="1" t="s">
        <v>911</v>
      </c>
    </row>
    <row r="121" spans="1:10" x14ac:dyDescent="0.3">
      <c r="A121" s="1" t="s">
        <v>474</v>
      </c>
      <c r="B121" s="1" t="s">
        <v>642</v>
      </c>
      <c r="C121" s="1" t="s">
        <v>24</v>
      </c>
      <c r="D121" s="8">
        <v>46127</v>
      </c>
      <c r="E121" s="8">
        <v>46137</v>
      </c>
      <c r="F121">
        <v>175</v>
      </c>
      <c r="G121">
        <v>63</v>
      </c>
      <c r="H121">
        <v>11025</v>
      </c>
      <c r="I121" s="1" t="s">
        <v>649</v>
      </c>
      <c r="J121" s="1" t="s">
        <v>913</v>
      </c>
    </row>
    <row r="122" spans="1:10" x14ac:dyDescent="0.3">
      <c r="A122" s="1" t="s">
        <v>476</v>
      </c>
      <c r="B122" s="1" t="s">
        <v>651</v>
      </c>
      <c r="C122" s="1" t="s">
        <v>8</v>
      </c>
      <c r="D122" s="8">
        <v>45958</v>
      </c>
      <c r="E122" s="8">
        <v>45968</v>
      </c>
      <c r="F122">
        <v>233</v>
      </c>
      <c r="G122">
        <v>330</v>
      </c>
      <c r="H122">
        <v>76890</v>
      </c>
      <c r="I122" s="1" t="s">
        <v>643</v>
      </c>
      <c r="J122" s="1" t="s">
        <v>908</v>
      </c>
    </row>
    <row r="123" spans="1:10" x14ac:dyDescent="0.3">
      <c r="A123" s="1" t="s">
        <v>478</v>
      </c>
      <c r="B123" s="1" t="s">
        <v>680</v>
      </c>
      <c r="C123" s="1" t="s">
        <v>14</v>
      </c>
      <c r="D123" s="8">
        <v>45935</v>
      </c>
      <c r="E123" s="8">
        <v>45947</v>
      </c>
      <c r="F123">
        <v>485</v>
      </c>
      <c r="G123">
        <v>246</v>
      </c>
      <c r="H123">
        <v>119310</v>
      </c>
      <c r="I123" s="1" t="s">
        <v>643</v>
      </c>
      <c r="J123" s="1" t="s">
        <v>913</v>
      </c>
    </row>
    <row r="124" spans="1:10" x14ac:dyDescent="0.3">
      <c r="A124" s="1" t="s">
        <v>480</v>
      </c>
      <c r="B124" s="1" t="s">
        <v>662</v>
      </c>
      <c r="C124" s="1" t="s">
        <v>14</v>
      </c>
      <c r="D124" s="8">
        <v>45871</v>
      </c>
      <c r="E124" s="8">
        <v>45875</v>
      </c>
      <c r="F124">
        <v>311</v>
      </c>
      <c r="G124">
        <v>337</v>
      </c>
      <c r="H124">
        <v>104807</v>
      </c>
      <c r="I124" s="1" t="s">
        <v>649</v>
      </c>
      <c r="J124" s="1" t="s">
        <v>911</v>
      </c>
    </row>
    <row r="125" spans="1:10" x14ac:dyDescent="0.3">
      <c r="A125" s="1" t="s">
        <v>482</v>
      </c>
      <c r="B125" s="1" t="s">
        <v>650</v>
      </c>
      <c r="C125" s="1" t="s">
        <v>19</v>
      </c>
      <c r="D125" s="8">
        <v>46171</v>
      </c>
      <c r="E125" s="8">
        <v>46180</v>
      </c>
      <c r="F125">
        <v>410</v>
      </c>
      <c r="G125">
        <v>126</v>
      </c>
      <c r="H125">
        <v>51660</v>
      </c>
      <c r="I125" s="1" t="s">
        <v>649</v>
      </c>
      <c r="J125" s="1" t="s">
        <v>915</v>
      </c>
    </row>
    <row r="126" spans="1:10" x14ac:dyDescent="0.3">
      <c r="A126" s="1" t="s">
        <v>484</v>
      </c>
      <c r="B126" s="1" t="s">
        <v>683</v>
      </c>
      <c r="C126" s="1" t="s">
        <v>8</v>
      </c>
      <c r="D126" s="8">
        <v>46125</v>
      </c>
      <c r="E126" s="8">
        <v>46133</v>
      </c>
      <c r="F126">
        <v>100</v>
      </c>
      <c r="G126">
        <v>142</v>
      </c>
      <c r="H126">
        <v>14200</v>
      </c>
      <c r="I126" s="1" t="s">
        <v>646</v>
      </c>
      <c r="J126" s="1" t="s">
        <v>915</v>
      </c>
    </row>
    <row r="127" spans="1:10" x14ac:dyDescent="0.3">
      <c r="A127" s="1" t="s">
        <v>486</v>
      </c>
      <c r="B127" s="1" t="s">
        <v>674</v>
      </c>
      <c r="C127" s="1" t="s">
        <v>14</v>
      </c>
      <c r="D127" s="8">
        <v>45913</v>
      </c>
      <c r="E127" s="8">
        <v>45930</v>
      </c>
      <c r="F127">
        <v>21</v>
      </c>
      <c r="G127">
        <v>229</v>
      </c>
      <c r="H127">
        <v>4809</v>
      </c>
      <c r="I127" s="1" t="s">
        <v>643</v>
      </c>
      <c r="J127" s="1" t="s">
        <v>911</v>
      </c>
    </row>
    <row r="128" spans="1:10" x14ac:dyDescent="0.3">
      <c r="A128" s="1" t="s">
        <v>488</v>
      </c>
      <c r="B128" s="1" t="s">
        <v>665</v>
      </c>
      <c r="C128" s="1" t="s">
        <v>19</v>
      </c>
      <c r="D128" s="8">
        <v>45864</v>
      </c>
      <c r="E128" s="8">
        <v>45876</v>
      </c>
      <c r="F128">
        <v>36</v>
      </c>
      <c r="G128">
        <v>138</v>
      </c>
      <c r="H128">
        <v>4968</v>
      </c>
      <c r="I128" s="1" t="s">
        <v>649</v>
      </c>
      <c r="J128" s="1" t="s">
        <v>915</v>
      </c>
    </row>
    <row r="129" spans="1:10" x14ac:dyDescent="0.3">
      <c r="A129" s="1" t="s">
        <v>490</v>
      </c>
      <c r="B129" s="1" t="s">
        <v>682</v>
      </c>
      <c r="C129" s="1" t="s">
        <v>19</v>
      </c>
      <c r="D129" s="8">
        <v>46141</v>
      </c>
      <c r="E129" s="8">
        <v>46151</v>
      </c>
      <c r="F129">
        <v>56</v>
      </c>
      <c r="G129">
        <v>371</v>
      </c>
      <c r="H129">
        <v>20776</v>
      </c>
      <c r="I129" s="1" t="s">
        <v>649</v>
      </c>
      <c r="J129" s="1" t="s">
        <v>913</v>
      </c>
    </row>
    <row r="130" spans="1:10" x14ac:dyDescent="0.3">
      <c r="A130" s="1" t="s">
        <v>492</v>
      </c>
      <c r="B130" s="1" t="s">
        <v>656</v>
      </c>
      <c r="C130" s="1" t="s">
        <v>28</v>
      </c>
      <c r="D130" s="8">
        <v>45983</v>
      </c>
      <c r="E130" s="8">
        <v>45992</v>
      </c>
      <c r="F130">
        <v>358</v>
      </c>
      <c r="G130">
        <v>431</v>
      </c>
      <c r="H130">
        <v>154298</v>
      </c>
      <c r="I130" s="1" t="s">
        <v>646</v>
      </c>
      <c r="J130" s="1" t="s">
        <v>926</v>
      </c>
    </row>
    <row r="131" spans="1:10" x14ac:dyDescent="0.3">
      <c r="A131" s="1" t="s">
        <v>494</v>
      </c>
      <c r="B131" s="1" t="s">
        <v>655</v>
      </c>
      <c r="C131" s="1" t="s">
        <v>19</v>
      </c>
      <c r="D131" s="8">
        <v>46144</v>
      </c>
      <c r="E131" s="8">
        <v>46151</v>
      </c>
      <c r="F131">
        <v>135</v>
      </c>
      <c r="G131">
        <v>351</v>
      </c>
      <c r="H131">
        <v>47385</v>
      </c>
      <c r="I131" s="1" t="s">
        <v>646</v>
      </c>
      <c r="J131" s="1" t="s">
        <v>911</v>
      </c>
    </row>
    <row r="132" spans="1:10" x14ac:dyDescent="0.3">
      <c r="A132" s="1" t="s">
        <v>496</v>
      </c>
      <c r="B132" s="1" t="s">
        <v>658</v>
      </c>
      <c r="C132" s="1" t="s">
        <v>14</v>
      </c>
      <c r="D132" s="8">
        <v>45891</v>
      </c>
      <c r="E132" s="8">
        <v>45903</v>
      </c>
      <c r="F132">
        <v>50</v>
      </c>
      <c r="G132">
        <v>104</v>
      </c>
      <c r="H132">
        <v>5200</v>
      </c>
      <c r="I132" s="1" t="s">
        <v>649</v>
      </c>
      <c r="J132" s="1" t="s">
        <v>913</v>
      </c>
    </row>
    <row r="133" spans="1:10" x14ac:dyDescent="0.3">
      <c r="A133" s="1" t="s">
        <v>498</v>
      </c>
      <c r="B133" s="1" t="s">
        <v>642</v>
      </c>
      <c r="C133" s="1" t="s">
        <v>24</v>
      </c>
      <c r="D133" s="8">
        <v>45950</v>
      </c>
      <c r="E133" s="8">
        <v>45967</v>
      </c>
      <c r="F133">
        <v>491</v>
      </c>
      <c r="G133">
        <v>167</v>
      </c>
      <c r="H133">
        <v>81997</v>
      </c>
      <c r="I133" s="1" t="s">
        <v>643</v>
      </c>
      <c r="J133" s="1" t="s">
        <v>913</v>
      </c>
    </row>
    <row r="134" spans="1:10" x14ac:dyDescent="0.3">
      <c r="A134" s="1" t="s">
        <v>500</v>
      </c>
      <c r="B134" s="1" t="s">
        <v>688</v>
      </c>
      <c r="C134" s="1" t="s">
        <v>19</v>
      </c>
      <c r="D134" s="8">
        <v>46170</v>
      </c>
      <c r="E134" s="8">
        <v>46185</v>
      </c>
      <c r="F134">
        <v>175</v>
      </c>
      <c r="G134">
        <v>378</v>
      </c>
      <c r="H134">
        <v>66150</v>
      </c>
      <c r="I134" s="1" t="s">
        <v>649</v>
      </c>
      <c r="J134" s="1" t="s">
        <v>964</v>
      </c>
    </row>
    <row r="135" spans="1:10" x14ac:dyDescent="0.3">
      <c r="A135" s="1" t="s">
        <v>502</v>
      </c>
      <c r="B135" s="1" t="s">
        <v>655</v>
      </c>
      <c r="C135" s="1" t="s">
        <v>14</v>
      </c>
      <c r="D135" s="8">
        <v>45868</v>
      </c>
      <c r="E135" s="8">
        <v>45873</v>
      </c>
      <c r="F135">
        <v>272</v>
      </c>
      <c r="G135">
        <v>244</v>
      </c>
      <c r="H135">
        <v>66368</v>
      </c>
      <c r="I135" s="1" t="s">
        <v>646</v>
      </c>
      <c r="J135" s="1" t="s">
        <v>911</v>
      </c>
    </row>
    <row r="136" spans="1:10" x14ac:dyDescent="0.3">
      <c r="A136" s="1" t="s">
        <v>504</v>
      </c>
      <c r="B136" s="1" t="s">
        <v>654</v>
      </c>
      <c r="C136" s="1" t="s">
        <v>16</v>
      </c>
      <c r="D136" s="8">
        <v>46024</v>
      </c>
      <c r="E136" s="8">
        <v>46035</v>
      </c>
      <c r="F136">
        <v>396</v>
      </c>
      <c r="G136">
        <v>185</v>
      </c>
      <c r="H136">
        <v>73260</v>
      </c>
      <c r="I136" s="1" t="s">
        <v>646</v>
      </c>
      <c r="J136" s="1" t="s">
        <v>908</v>
      </c>
    </row>
    <row r="137" spans="1:10" x14ac:dyDescent="0.3">
      <c r="A137" s="1" t="s">
        <v>506</v>
      </c>
      <c r="B137" s="1" t="s">
        <v>675</v>
      </c>
      <c r="C137" s="1" t="s">
        <v>19</v>
      </c>
      <c r="D137" s="8">
        <v>46045</v>
      </c>
      <c r="E137" s="8">
        <v>46048</v>
      </c>
      <c r="F137">
        <v>365</v>
      </c>
      <c r="G137">
        <v>448</v>
      </c>
      <c r="H137">
        <v>163520</v>
      </c>
      <c r="I137" s="1" t="s">
        <v>649</v>
      </c>
      <c r="J137" s="1" t="s">
        <v>915</v>
      </c>
    </row>
    <row r="138" spans="1:10" x14ac:dyDescent="0.3">
      <c r="A138" s="1" t="s">
        <v>508</v>
      </c>
      <c r="B138" s="1" t="s">
        <v>670</v>
      </c>
      <c r="C138" s="1" t="s">
        <v>33</v>
      </c>
      <c r="D138" s="8">
        <v>45858</v>
      </c>
      <c r="E138" s="8">
        <v>45866</v>
      </c>
      <c r="F138">
        <v>410</v>
      </c>
      <c r="G138">
        <v>407</v>
      </c>
      <c r="H138">
        <v>166870</v>
      </c>
      <c r="I138" s="1" t="s">
        <v>649</v>
      </c>
      <c r="J138" s="1" t="s">
        <v>913</v>
      </c>
    </row>
    <row r="139" spans="1:10" x14ac:dyDescent="0.3">
      <c r="A139" s="1" t="s">
        <v>510</v>
      </c>
      <c r="B139" s="1" t="s">
        <v>687</v>
      </c>
      <c r="C139" s="1" t="s">
        <v>30</v>
      </c>
      <c r="D139" s="8">
        <v>46190</v>
      </c>
      <c r="E139" s="8">
        <v>46201</v>
      </c>
      <c r="F139">
        <v>246</v>
      </c>
      <c r="G139">
        <v>489</v>
      </c>
      <c r="H139">
        <v>120294</v>
      </c>
      <c r="I139" s="1" t="s">
        <v>649</v>
      </c>
      <c r="J139" s="1" t="s">
        <v>926</v>
      </c>
    </row>
    <row r="140" spans="1:10" x14ac:dyDescent="0.3">
      <c r="A140" s="1" t="s">
        <v>512</v>
      </c>
      <c r="B140" s="1" t="s">
        <v>654</v>
      </c>
      <c r="C140" s="1" t="s">
        <v>24</v>
      </c>
      <c r="D140" s="8">
        <v>45964</v>
      </c>
      <c r="E140" s="8">
        <v>45982</v>
      </c>
      <c r="F140">
        <v>345</v>
      </c>
      <c r="G140">
        <v>436</v>
      </c>
      <c r="H140">
        <v>150420</v>
      </c>
      <c r="I140" s="1" t="s">
        <v>643</v>
      </c>
      <c r="J140" s="1" t="s">
        <v>908</v>
      </c>
    </row>
    <row r="141" spans="1:10" x14ac:dyDescent="0.3">
      <c r="A141" s="1" t="s">
        <v>514</v>
      </c>
      <c r="B141" s="1" t="s">
        <v>690</v>
      </c>
      <c r="C141" s="1" t="s">
        <v>24</v>
      </c>
      <c r="D141" s="8">
        <v>46198</v>
      </c>
      <c r="E141" s="8">
        <v>46211</v>
      </c>
      <c r="F141">
        <v>229</v>
      </c>
      <c r="G141">
        <v>190</v>
      </c>
      <c r="H141">
        <v>43510</v>
      </c>
      <c r="I141" s="1" t="s">
        <v>646</v>
      </c>
      <c r="J141" s="1" t="s">
        <v>915</v>
      </c>
    </row>
    <row r="142" spans="1:10" x14ac:dyDescent="0.3">
      <c r="A142" s="1" t="s">
        <v>516</v>
      </c>
      <c r="B142" s="1" t="s">
        <v>673</v>
      </c>
      <c r="C142" s="1" t="s">
        <v>19</v>
      </c>
      <c r="D142" s="8">
        <v>46085</v>
      </c>
      <c r="E142" s="8">
        <v>46103</v>
      </c>
      <c r="F142">
        <v>230</v>
      </c>
      <c r="G142">
        <v>375</v>
      </c>
      <c r="H142">
        <v>86250</v>
      </c>
      <c r="I142" s="1" t="s">
        <v>649</v>
      </c>
      <c r="J142" s="1" t="s">
        <v>926</v>
      </c>
    </row>
    <row r="143" spans="1:10" x14ac:dyDescent="0.3">
      <c r="A143" s="1" t="s">
        <v>518</v>
      </c>
      <c r="B143" s="1" t="s">
        <v>647</v>
      </c>
      <c r="C143" s="1" t="s">
        <v>16</v>
      </c>
      <c r="D143" s="8">
        <v>46025</v>
      </c>
      <c r="E143" s="8">
        <v>46045</v>
      </c>
      <c r="F143">
        <v>436</v>
      </c>
      <c r="G143">
        <v>409</v>
      </c>
      <c r="H143">
        <v>178324</v>
      </c>
      <c r="I143" s="1" t="s">
        <v>643</v>
      </c>
      <c r="J143" s="1" t="s">
        <v>926</v>
      </c>
    </row>
    <row r="144" spans="1:10" x14ac:dyDescent="0.3">
      <c r="A144" s="1" t="s">
        <v>520</v>
      </c>
      <c r="B144" s="1" t="s">
        <v>683</v>
      </c>
      <c r="C144" s="1" t="s">
        <v>24</v>
      </c>
      <c r="D144" s="8">
        <v>46197</v>
      </c>
      <c r="E144" s="8">
        <v>46210</v>
      </c>
      <c r="F144">
        <v>181</v>
      </c>
      <c r="G144">
        <v>149</v>
      </c>
      <c r="H144">
        <v>26969</v>
      </c>
      <c r="I144" s="1" t="s">
        <v>643</v>
      </c>
      <c r="J144" s="1" t="s">
        <v>915</v>
      </c>
    </row>
    <row r="145" spans="1:10" x14ac:dyDescent="0.3">
      <c r="A145" s="1" t="s">
        <v>522</v>
      </c>
      <c r="B145" s="1" t="s">
        <v>657</v>
      </c>
      <c r="C145" s="1" t="s">
        <v>33</v>
      </c>
      <c r="D145" s="8">
        <v>46198</v>
      </c>
      <c r="E145" s="8">
        <v>46218</v>
      </c>
      <c r="F145">
        <v>442</v>
      </c>
      <c r="G145">
        <v>20</v>
      </c>
      <c r="H145">
        <v>8840</v>
      </c>
      <c r="I145" s="1" t="s">
        <v>643</v>
      </c>
      <c r="J145" s="1" t="s">
        <v>915</v>
      </c>
    </row>
    <row r="146" spans="1:10" x14ac:dyDescent="0.3">
      <c r="A146" s="1" t="s">
        <v>524</v>
      </c>
      <c r="B146" s="1" t="s">
        <v>667</v>
      </c>
      <c r="C146" s="1" t="s">
        <v>14</v>
      </c>
      <c r="D146" s="8">
        <v>45989</v>
      </c>
      <c r="E146" s="8">
        <v>46003</v>
      </c>
      <c r="F146">
        <v>116</v>
      </c>
      <c r="G146">
        <v>285</v>
      </c>
      <c r="H146">
        <v>33060</v>
      </c>
      <c r="I146" s="1" t="s">
        <v>643</v>
      </c>
      <c r="J146" s="1" t="s">
        <v>915</v>
      </c>
    </row>
    <row r="147" spans="1:10" x14ac:dyDescent="0.3">
      <c r="A147" s="1" t="s">
        <v>526</v>
      </c>
      <c r="B147" s="1" t="s">
        <v>666</v>
      </c>
      <c r="C147" s="1" t="s">
        <v>46</v>
      </c>
      <c r="D147" s="8">
        <v>45983</v>
      </c>
      <c r="E147" s="8">
        <v>45987</v>
      </c>
      <c r="F147">
        <v>246</v>
      </c>
      <c r="G147">
        <v>409</v>
      </c>
      <c r="H147">
        <v>100614</v>
      </c>
      <c r="I147" s="1" t="s">
        <v>643</v>
      </c>
      <c r="J147" s="1" t="s">
        <v>911</v>
      </c>
    </row>
    <row r="148" spans="1:10" x14ac:dyDescent="0.3">
      <c r="A148" s="1" t="s">
        <v>528</v>
      </c>
      <c r="B148" s="1" t="s">
        <v>663</v>
      </c>
      <c r="C148" s="1" t="s">
        <v>33</v>
      </c>
      <c r="D148" s="8">
        <v>45843</v>
      </c>
      <c r="E148" s="8">
        <v>45855</v>
      </c>
      <c r="F148">
        <v>87</v>
      </c>
      <c r="G148">
        <v>494</v>
      </c>
      <c r="H148">
        <v>42978</v>
      </c>
      <c r="I148" s="1" t="s">
        <v>649</v>
      </c>
      <c r="J148" s="1" t="s">
        <v>915</v>
      </c>
    </row>
    <row r="149" spans="1:10" x14ac:dyDescent="0.3">
      <c r="A149" s="1" t="s">
        <v>530</v>
      </c>
      <c r="B149" s="1" t="s">
        <v>685</v>
      </c>
      <c r="C149" s="1" t="s">
        <v>30</v>
      </c>
      <c r="D149" s="8">
        <v>46172</v>
      </c>
      <c r="E149" s="8">
        <v>46182</v>
      </c>
      <c r="F149">
        <v>82</v>
      </c>
      <c r="G149">
        <v>34</v>
      </c>
      <c r="H149">
        <v>2788</v>
      </c>
      <c r="I149" s="1" t="s">
        <v>643</v>
      </c>
      <c r="J149" s="1" t="s">
        <v>911</v>
      </c>
    </row>
    <row r="150" spans="1:10" x14ac:dyDescent="0.3">
      <c r="A150" s="1" t="s">
        <v>532</v>
      </c>
      <c r="B150" s="1" t="s">
        <v>663</v>
      </c>
      <c r="C150" s="1" t="s">
        <v>24</v>
      </c>
      <c r="D150" s="8">
        <v>46047</v>
      </c>
      <c r="E150" s="8">
        <v>46063</v>
      </c>
      <c r="F150">
        <v>27</v>
      </c>
      <c r="G150">
        <v>302</v>
      </c>
      <c r="H150">
        <v>8154</v>
      </c>
      <c r="I150" s="1" t="s">
        <v>646</v>
      </c>
      <c r="J150" s="1" t="s">
        <v>915</v>
      </c>
    </row>
    <row r="151" spans="1:10" x14ac:dyDescent="0.3">
      <c r="A151" s="1" t="s">
        <v>534</v>
      </c>
      <c r="B151" s="1" t="s">
        <v>664</v>
      </c>
      <c r="C151" s="1" t="s">
        <v>33</v>
      </c>
      <c r="D151" s="8">
        <v>46050</v>
      </c>
      <c r="E151" s="8">
        <v>46057</v>
      </c>
      <c r="F151">
        <v>256</v>
      </c>
      <c r="G151">
        <v>80</v>
      </c>
      <c r="H151">
        <v>20480</v>
      </c>
      <c r="I151" s="1" t="s">
        <v>649</v>
      </c>
      <c r="J151" s="1" t="s">
        <v>915</v>
      </c>
    </row>
    <row r="152" spans="1:10" x14ac:dyDescent="0.3">
      <c r="A152" s="1" t="s">
        <v>536</v>
      </c>
      <c r="B152" s="1" t="s">
        <v>665</v>
      </c>
      <c r="C152" s="1" t="s">
        <v>28</v>
      </c>
      <c r="D152" s="8">
        <v>46032</v>
      </c>
      <c r="E152" s="8">
        <v>46043</v>
      </c>
      <c r="F152">
        <v>280</v>
      </c>
      <c r="G152">
        <v>381</v>
      </c>
      <c r="H152">
        <v>106680</v>
      </c>
      <c r="I152" s="1" t="s">
        <v>643</v>
      </c>
      <c r="J152" s="1" t="s">
        <v>915</v>
      </c>
    </row>
    <row r="153" spans="1:10" x14ac:dyDescent="0.3">
      <c r="A153" s="1" t="s">
        <v>538</v>
      </c>
      <c r="B153" s="1" t="s">
        <v>652</v>
      </c>
      <c r="C153" s="1" t="s">
        <v>30</v>
      </c>
      <c r="D153" s="8">
        <v>45889</v>
      </c>
      <c r="E153" s="8">
        <v>45909</v>
      </c>
      <c r="F153">
        <v>144</v>
      </c>
      <c r="G153">
        <v>253</v>
      </c>
      <c r="H153">
        <v>36432</v>
      </c>
      <c r="I153" s="1" t="s">
        <v>643</v>
      </c>
      <c r="J153" s="1" t="s">
        <v>911</v>
      </c>
    </row>
    <row r="154" spans="1:10" x14ac:dyDescent="0.3">
      <c r="A154" s="1" t="s">
        <v>540</v>
      </c>
      <c r="B154" s="1" t="s">
        <v>644</v>
      </c>
      <c r="C154" s="1" t="s">
        <v>30</v>
      </c>
      <c r="D154" s="8">
        <v>45889</v>
      </c>
      <c r="E154" s="8">
        <v>45908</v>
      </c>
      <c r="F154">
        <v>491</v>
      </c>
      <c r="G154">
        <v>326</v>
      </c>
      <c r="H154">
        <v>160066</v>
      </c>
      <c r="I154" s="1" t="s">
        <v>646</v>
      </c>
      <c r="J154" s="1" t="s">
        <v>913</v>
      </c>
    </row>
    <row r="155" spans="1:10" x14ac:dyDescent="0.3">
      <c r="A155" s="1" t="s">
        <v>542</v>
      </c>
      <c r="B155" s="1" t="s">
        <v>648</v>
      </c>
      <c r="C155" s="1" t="s">
        <v>11</v>
      </c>
      <c r="D155" s="8">
        <v>46189</v>
      </c>
      <c r="E155" s="8">
        <v>46205</v>
      </c>
      <c r="F155">
        <v>415</v>
      </c>
      <c r="G155">
        <v>424</v>
      </c>
      <c r="H155">
        <v>175960</v>
      </c>
      <c r="I155" s="1" t="s">
        <v>649</v>
      </c>
      <c r="J155" s="1" t="s">
        <v>913</v>
      </c>
    </row>
    <row r="156" spans="1:10" x14ac:dyDescent="0.3">
      <c r="A156" s="1" t="s">
        <v>544</v>
      </c>
      <c r="B156" s="1" t="s">
        <v>648</v>
      </c>
      <c r="C156" s="1" t="s">
        <v>19</v>
      </c>
      <c r="D156" s="8">
        <v>46029</v>
      </c>
      <c r="E156" s="8">
        <v>46041</v>
      </c>
      <c r="F156">
        <v>440</v>
      </c>
      <c r="G156">
        <v>21</v>
      </c>
      <c r="H156">
        <v>9240</v>
      </c>
      <c r="I156" s="1" t="s">
        <v>649</v>
      </c>
      <c r="J156" s="1" t="s">
        <v>913</v>
      </c>
    </row>
    <row r="157" spans="1:10" x14ac:dyDescent="0.3">
      <c r="A157" s="1" t="s">
        <v>546</v>
      </c>
      <c r="B157" s="1" t="s">
        <v>656</v>
      </c>
      <c r="C157" s="1" t="s">
        <v>33</v>
      </c>
      <c r="D157" s="8">
        <v>46144</v>
      </c>
      <c r="E157" s="8">
        <v>46151</v>
      </c>
      <c r="F157">
        <v>357</v>
      </c>
      <c r="G157">
        <v>270</v>
      </c>
      <c r="H157">
        <v>96390</v>
      </c>
      <c r="I157" s="1" t="s">
        <v>649</v>
      </c>
      <c r="J157" s="1" t="s">
        <v>926</v>
      </c>
    </row>
    <row r="158" spans="1:10" x14ac:dyDescent="0.3">
      <c r="A158" s="1" t="s">
        <v>548</v>
      </c>
      <c r="B158" s="1" t="s">
        <v>652</v>
      </c>
      <c r="C158" s="1" t="s">
        <v>8</v>
      </c>
      <c r="D158" s="8">
        <v>46034</v>
      </c>
      <c r="E158" s="8">
        <v>46054</v>
      </c>
      <c r="F158">
        <v>196</v>
      </c>
      <c r="G158">
        <v>190</v>
      </c>
      <c r="H158">
        <v>37240</v>
      </c>
      <c r="I158" s="1" t="s">
        <v>643</v>
      </c>
      <c r="J158" s="1" t="s">
        <v>911</v>
      </c>
    </row>
    <row r="159" spans="1:10" x14ac:dyDescent="0.3">
      <c r="A159" s="1" t="s">
        <v>550</v>
      </c>
      <c r="B159" s="1" t="s">
        <v>682</v>
      </c>
      <c r="C159" s="1" t="s">
        <v>46</v>
      </c>
      <c r="D159" s="8">
        <v>45979</v>
      </c>
      <c r="E159" s="8">
        <v>45988</v>
      </c>
      <c r="F159">
        <v>497</v>
      </c>
      <c r="G159">
        <v>184</v>
      </c>
      <c r="H159">
        <v>91448</v>
      </c>
      <c r="I159" s="1" t="s">
        <v>649</v>
      </c>
      <c r="J159" s="1" t="s">
        <v>913</v>
      </c>
    </row>
    <row r="160" spans="1:10" x14ac:dyDescent="0.3">
      <c r="A160" s="1" t="s">
        <v>552</v>
      </c>
      <c r="B160" s="1" t="s">
        <v>653</v>
      </c>
      <c r="C160" s="1" t="s">
        <v>16</v>
      </c>
      <c r="D160" s="8">
        <v>45914</v>
      </c>
      <c r="E160" s="8">
        <v>45930</v>
      </c>
      <c r="F160">
        <v>139</v>
      </c>
      <c r="G160">
        <v>458</v>
      </c>
      <c r="H160">
        <v>63662</v>
      </c>
      <c r="I160" s="1" t="s">
        <v>643</v>
      </c>
      <c r="J160" s="1" t="s">
        <v>911</v>
      </c>
    </row>
    <row r="161" spans="1:10" x14ac:dyDescent="0.3">
      <c r="A161" s="1" t="s">
        <v>554</v>
      </c>
      <c r="B161" s="1" t="s">
        <v>669</v>
      </c>
      <c r="C161" s="1" t="s">
        <v>28</v>
      </c>
      <c r="D161" s="8">
        <v>46045</v>
      </c>
      <c r="E161" s="8">
        <v>46060</v>
      </c>
      <c r="F161">
        <v>262</v>
      </c>
      <c r="G161">
        <v>381</v>
      </c>
      <c r="H161">
        <v>99822</v>
      </c>
      <c r="I161" s="1" t="s">
        <v>649</v>
      </c>
      <c r="J161" s="1" t="s">
        <v>915</v>
      </c>
    </row>
    <row r="162" spans="1:10" x14ac:dyDescent="0.3">
      <c r="A162" s="1" t="s">
        <v>556</v>
      </c>
      <c r="B162" s="1" t="s">
        <v>687</v>
      </c>
      <c r="C162" s="1" t="s">
        <v>30</v>
      </c>
      <c r="D162" s="8">
        <v>45901</v>
      </c>
      <c r="E162" s="8">
        <v>45905</v>
      </c>
      <c r="F162">
        <v>97</v>
      </c>
      <c r="G162">
        <v>273</v>
      </c>
      <c r="H162">
        <v>26481</v>
      </c>
      <c r="I162" s="1" t="s">
        <v>649</v>
      </c>
      <c r="J162" s="1" t="s">
        <v>926</v>
      </c>
    </row>
    <row r="163" spans="1:10" x14ac:dyDescent="0.3">
      <c r="A163" s="1" t="s">
        <v>558</v>
      </c>
      <c r="B163" s="1" t="s">
        <v>656</v>
      </c>
      <c r="C163" s="1" t="s">
        <v>33</v>
      </c>
      <c r="D163" s="8">
        <v>45851</v>
      </c>
      <c r="E163" s="8">
        <v>45857</v>
      </c>
      <c r="F163">
        <v>189</v>
      </c>
      <c r="G163">
        <v>465</v>
      </c>
      <c r="H163">
        <v>87885</v>
      </c>
      <c r="I163" s="1" t="s">
        <v>646</v>
      </c>
      <c r="J163" s="1" t="s">
        <v>926</v>
      </c>
    </row>
    <row r="164" spans="1:10" x14ac:dyDescent="0.3">
      <c r="A164" s="1" t="s">
        <v>560</v>
      </c>
      <c r="B164" s="1" t="s">
        <v>677</v>
      </c>
      <c r="C164" s="1" t="s">
        <v>30</v>
      </c>
      <c r="D164" s="8">
        <v>45926</v>
      </c>
      <c r="E164" s="8">
        <v>45929</v>
      </c>
      <c r="F164">
        <v>486</v>
      </c>
      <c r="G164">
        <v>253</v>
      </c>
      <c r="H164">
        <v>122958</v>
      </c>
      <c r="I164" s="1" t="s">
        <v>643</v>
      </c>
      <c r="J164" s="1" t="s">
        <v>913</v>
      </c>
    </row>
    <row r="165" spans="1:10" x14ac:dyDescent="0.3">
      <c r="A165" s="1" t="s">
        <v>562</v>
      </c>
      <c r="B165" s="1" t="s">
        <v>687</v>
      </c>
      <c r="C165" s="1" t="s">
        <v>19</v>
      </c>
      <c r="D165" s="8">
        <v>46019</v>
      </c>
      <c r="E165" s="8">
        <v>46037</v>
      </c>
      <c r="F165">
        <v>99</v>
      </c>
      <c r="G165">
        <v>58</v>
      </c>
      <c r="H165">
        <v>5742</v>
      </c>
      <c r="I165" s="1" t="s">
        <v>643</v>
      </c>
      <c r="J165" s="1" t="s">
        <v>926</v>
      </c>
    </row>
    <row r="166" spans="1:10" x14ac:dyDescent="0.3">
      <c r="A166" s="1" t="s">
        <v>564</v>
      </c>
      <c r="B166" s="1" t="s">
        <v>691</v>
      </c>
      <c r="C166" s="1" t="s">
        <v>11</v>
      </c>
      <c r="D166" s="8">
        <v>46007</v>
      </c>
      <c r="E166" s="8">
        <v>46012</v>
      </c>
      <c r="F166">
        <v>374</v>
      </c>
      <c r="G166">
        <v>223</v>
      </c>
      <c r="H166">
        <v>83402</v>
      </c>
      <c r="I166" s="1" t="s">
        <v>649</v>
      </c>
      <c r="J166" s="1" t="s">
        <v>908</v>
      </c>
    </row>
    <row r="167" spans="1:10" x14ac:dyDescent="0.3">
      <c r="A167" s="1" t="s">
        <v>566</v>
      </c>
      <c r="B167" s="1" t="s">
        <v>655</v>
      </c>
      <c r="C167" s="1" t="s">
        <v>8</v>
      </c>
      <c r="D167" s="8">
        <v>45956</v>
      </c>
      <c r="E167" s="8">
        <v>45974</v>
      </c>
      <c r="F167">
        <v>214</v>
      </c>
      <c r="G167">
        <v>182</v>
      </c>
      <c r="H167">
        <v>38948</v>
      </c>
      <c r="I167" s="1" t="s">
        <v>646</v>
      </c>
      <c r="J167" s="1" t="s">
        <v>911</v>
      </c>
    </row>
    <row r="168" spans="1:10" x14ac:dyDescent="0.3">
      <c r="A168" s="1" t="s">
        <v>568</v>
      </c>
      <c r="B168" s="1" t="s">
        <v>691</v>
      </c>
      <c r="C168" s="1" t="s">
        <v>46</v>
      </c>
      <c r="D168" s="8">
        <v>46078</v>
      </c>
      <c r="E168" s="8">
        <v>46090</v>
      </c>
      <c r="F168">
        <v>55</v>
      </c>
      <c r="G168">
        <v>140</v>
      </c>
      <c r="H168">
        <v>7700</v>
      </c>
      <c r="I168" s="1" t="s">
        <v>649</v>
      </c>
      <c r="J168" s="1" t="s">
        <v>908</v>
      </c>
    </row>
    <row r="169" spans="1:10" x14ac:dyDescent="0.3">
      <c r="A169" s="1" t="s">
        <v>570</v>
      </c>
      <c r="B169" s="1" t="s">
        <v>683</v>
      </c>
      <c r="C169" s="1" t="s">
        <v>33</v>
      </c>
      <c r="D169" s="8">
        <v>45991</v>
      </c>
      <c r="E169" s="8">
        <v>45997</v>
      </c>
      <c r="F169">
        <v>242</v>
      </c>
      <c r="G169">
        <v>70</v>
      </c>
      <c r="H169">
        <v>16940</v>
      </c>
      <c r="I169" s="1" t="s">
        <v>646</v>
      </c>
      <c r="J169" s="1" t="s">
        <v>915</v>
      </c>
    </row>
    <row r="170" spans="1:10" x14ac:dyDescent="0.3">
      <c r="A170" s="1" t="s">
        <v>572</v>
      </c>
      <c r="B170" s="1" t="s">
        <v>688</v>
      </c>
      <c r="C170" s="1" t="s">
        <v>16</v>
      </c>
      <c r="D170" s="8">
        <v>45854</v>
      </c>
      <c r="E170" s="8">
        <v>45857</v>
      </c>
      <c r="F170">
        <v>173</v>
      </c>
      <c r="G170">
        <v>482</v>
      </c>
      <c r="H170">
        <v>83386</v>
      </c>
      <c r="I170" s="1" t="s">
        <v>643</v>
      </c>
      <c r="J170" s="1" t="s">
        <v>964</v>
      </c>
    </row>
    <row r="171" spans="1:10" x14ac:dyDescent="0.3">
      <c r="A171" s="1" t="s">
        <v>574</v>
      </c>
      <c r="B171" s="1" t="s">
        <v>667</v>
      </c>
      <c r="C171" s="1" t="s">
        <v>28</v>
      </c>
      <c r="D171" s="8">
        <v>46041</v>
      </c>
      <c r="E171" s="8">
        <v>46055</v>
      </c>
      <c r="F171">
        <v>170</v>
      </c>
      <c r="G171">
        <v>203</v>
      </c>
      <c r="H171">
        <v>34510</v>
      </c>
      <c r="I171" s="1" t="s">
        <v>646</v>
      </c>
      <c r="J171" s="1" t="s">
        <v>915</v>
      </c>
    </row>
    <row r="172" spans="1:10" x14ac:dyDescent="0.3">
      <c r="A172" s="1" t="s">
        <v>576</v>
      </c>
      <c r="B172" s="1" t="s">
        <v>681</v>
      </c>
      <c r="C172" s="1" t="s">
        <v>30</v>
      </c>
      <c r="D172" s="8">
        <v>46179</v>
      </c>
      <c r="E172" s="8">
        <v>46187</v>
      </c>
      <c r="F172">
        <v>291</v>
      </c>
      <c r="G172">
        <v>230</v>
      </c>
      <c r="H172">
        <v>66930</v>
      </c>
      <c r="I172" s="1" t="s">
        <v>646</v>
      </c>
      <c r="J172" s="1" t="s">
        <v>911</v>
      </c>
    </row>
    <row r="173" spans="1:10" x14ac:dyDescent="0.3">
      <c r="A173" s="1" t="s">
        <v>578</v>
      </c>
      <c r="B173" s="1" t="s">
        <v>683</v>
      </c>
      <c r="C173" s="1" t="s">
        <v>14</v>
      </c>
      <c r="D173" s="8">
        <v>45900</v>
      </c>
      <c r="E173" s="8">
        <v>45915</v>
      </c>
      <c r="F173">
        <v>332</v>
      </c>
      <c r="G173">
        <v>465</v>
      </c>
      <c r="H173">
        <v>154380</v>
      </c>
      <c r="I173" s="1" t="s">
        <v>649</v>
      </c>
      <c r="J173" s="1" t="s">
        <v>915</v>
      </c>
    </row>
    <row r="174" spans="1:10" x14ac:dyDescent="0.3">
      <c r="A174" s="1" t="s">
        <v>580</v>
      </c>
      <c r="B174" s="1" t="s">
        <v>681</v>
      </c>
      <c r="C174" s="1" t="s">
        <v>46</v>
      </c>
      <c r="D174" s="8">
        <v>46172</v>
      </c>
      <c r="E174" s="8">
        <v>46179</v>
      </c>
      <c r="F174">
        <v>274</v>
      </c>
      <c r="G174">
        <v>487</v>
      </c>
      <c r="H174">
        <v>133438</v>
      </c>
      <c r="I174" s="1" t="s">
        <v>643</v>
      </c>
      <c r="J174" s="1" t="s">
        <v>911</v>
      </c>
    </row>
    <row r="175" spans="1:10" x14ac:dyDescent="0.3">
      <c r="A175" s="1" t="s">
        <v>582</v>
      </c>
      <c r="B175" s="1" t="s">
        <v>666</v>
      </c>
      <c r="C175" s="1" t="s">
        <v>16</v>
      </c>
      <c r="D175" s="8">
        <v>45864</v>
      </c>
      <c r="E175" s="8">
        <v>45875</v>
      </c>
      <c r="F175">
        <v>150</v>
      </c>
      <c r="G175">
        <v>255</v>
      </c>
      <c r="H175">
        <v>38250</v>
      </c>
      <c r="I175" s="1" t="s">
        <v>643</v>
      </c>
      <c r="J175" s="1" t="s">
        <v>911</v>
      </c>
    </row>
    <row r="176" spans="1:10" x14ac:dyDescent="0.3">
      <c r="A176" s="1" t="s">
        <v>584</v>
      </c>
      <c r="B176" s="1" t="s">
        <v>665</v>
      </c>
      <c r="C176" s="1" t="s">
        <v>24</v>
      </c>
      <c r="D176" s="8">
        <v>45852</v>
      </c>
      <c r="E176" s="8">
        <v>45860</v>
      </c>
      <c r="F176">
        <v>366</v>
      </c>
      <c r="G176">
        <v>299</v>
      </c>
      <c r="H176">
        <v>109434</v>
      </c>
      <c r="I176" s="1" t="s">
        <v>643</v>
      </c>
      <c r="J176" s="1" t="s">
        <v>915</v>
      </c>
    </row>
    <row r="177" spans="1:10" x14ac:dyDescent="0.3">
      <c r="A177" s="1" t="s">
        <v>586</v>
      </c>
      <c r="B177" s="1" t="s">
        <v>690</v>
      </c>
      <c r="C177" s="1" t="s">
        <v>19</v>
      </c>
      <c r="D177" s="8">
        <v>46029</v>
      </c>
      <c r="E177" s="8">
        <v>46045</v>
      </c>
      <c r="F177">
        <v>320</v>
      </c>
      <c r="G177">
        <v>173</v>
      </c>
      <c r="H177">
        <v>55360</v>
      </c>
      <c r="I177" s="1" t="s">
        <v>643</v>
      </c>
      <c r="J177" s="1" t="s">
        <v>915</v>
      </c>
    </row>
    <row r="178" spans="1:10" x14ac:dyDescent="0.3">
      <c r="A178" s="1" t="s">
        <v>588</v>
      </c>
      <c r="B178" s="1" t="s">
        <v>662</v>
      </c>
      <c r="C178" s="1" t="s">
        <v>24</v>
      </c>
      <c r="D178" s="8">
        <v>46038</v>
      </c>
      <c r="E178" s="8">
        <v>46056</v>
      </c>
      <c r="F178">
        <v>121</v>
      </c>
      <c r="G178">
        <v>216</v>
      </c>
      <c r="H178">
        <v>26136</v>
      </c>
      <c r="I178" s="1" t="s">
        <v>646</v>
      </c>
      <c r="J178" s="1" t="s">
        <v>911</v>
      </c>
    </row>
    <row r="179" spans="1:10" x14ac:dyDescent="0.3">
      <c r="A179" s="1" t="s">
        <v>590</v>
      </c>
      <c r="B179" s="1" t="s">
        <v>653</v>
      </c>
      <c r="C179" s="1" t="s">
        <v>19</v>
      </c>
      <c r="D179" s="8">
        <v>46066</v>
      </c>
      <c r="E179" s="8">
        <v>46078</v>
      </c>
      <c r="F179">
        <v>312</v>
      </c>
      <c r="G179">
        <v>203</v>
      </c>
      <c r="H179">
        <v>63336</v>
      </c>
      <c r="I179" s="1" t="s">
        <v>646</v>
      </c>
      <c r="J179" s="1" t="s">
        <v>911</v>
      </c>
    </row>
    <row r="180" spans="1:10" x14ac:dyDescent="0.3">
      <c r="A180" s="1" t="s">
        <v>592</v>
      </c>
      <c r="B180" s="1" t="s">
        <v>678</v>
      </c>
      <c r="C180" s="1" t="s">
        <v>14</v>
      </c>
      <c r="D180" s="8">
        <v>46002</v>
      </c>
      <c r="E180" s="8">
        <v>46005</v>
      </c>
      <c r="F180">
        <v>222</v>
      </c>
      <c r="G180">
        <v>160</v>
      </c>
      <c r="H180">
        <v>35520</v>
      </c>
      <c r="I180" s="1" t="s">
        <v>649</v>
      </c>
      <c r="J180" s="1" t="s">
        <v>915</v>
      </c>
    </row>
    <row r="181" spans="1:10" x14ac:dyDescent="0.3">
      <c r="A181" s="1" t="s">
        <v>594</v>
      </c>
      <c r="B181" s="1" t="s">
        <v>689</v>
      </c>
      <c r="C181" s="1" t="s">
        <v>19</v>
      </c>
      <c r="D181" s="8">
        <v>45864</v>
      </c>
      <c r="E181" s="8">
        <v>45882</v>
      </c>
      <c r="F181">
        <v>401</v>
      </c>
      <c r="G181">
        <v>45</v>
      </c>
      <c r="H181">
        <v>18045</v>
      </c>
      <c r="I181" s="1" t="s">
        <v>646</v>
      </c>
      <c r="J181" s="1" t="s">
        <v>915</v>
      </c>
    </row>
    <row r="182" spans="1:10" x14ac:dyDescent="0.3">
      <c r="A182" s="1" t="s">
        <v>596</v>
      </c>
      <c r="B182" s="1" t="s">
        <v>692</v>
      </c>
      <c r="C182" s="1" t="s">
        <v>46</v>
      </c>
      <c r="D182" s="8">
        <v>46162</v>
      </c>
      <c r="E182" s="8">
        <v>46172</v>
      </c>
      <c r="F182">
        <v>430</v>
      </c>
      <c r="G182">
        <v>200</v>
      </c>
      <c r="H182">
        <v>86000</v>
      </c>
      <c r="I182" s="1" t="s">
        <v>649</v>
      </c>
      <c r="J182" s="1" t="s">
        <v>913</v>
      </c>
    </row>
    <row r="183" spans="1:10" x14ac:dyDescent="0.3">
      <c r="A183" s="1" t="s">
        <v>598</v>
      </c>
      <c r="B183" s="1" t="s">
        <v>660</v>
      </c>
      <c r="C183" s="1" t="s">
        <v>24</v>
      </c>
      <c r="D183" s="8">
        <v>46108</v>
      </c>
      <c r="E183" s="8">
        <v>46115</v>
      </c>
      <c r="F183">
        <v>367</v>
      </c>
      <c r="G183">
        <v>406</v>
      </c>
      <c r="H183">
        <v>149002</v>
      </c>
      <c r="I183" s="1" t="s">
        <v>649</v>
      </c>
      <c r="J183" s="1" t="s">
        <v>915</v>
      </c>
    </row>
    <row r="184" spans="1:10" x14ac:dyDescent="0.3">
      <c r="A184" s="1" t="s">
        <v>600</v>
      </c>
      <c r="B184" s="1" t="s">
        <v>687</v>
      </c>
      <c r="C184" s="1" t="s">
        <v>16</v>
      </c>
      <c r="D184" s="8">
        <v>46130</v>
      </c>
      <c r="E184" s="8">
        <v>46147</v>
      </c>
      <c r="F184">
        <v>40</v>
      </c>
      <c r="G184">
        <v>178</v>
      </c>
      <c r="H184">
        <v>7120</v>
      </c>
      <c r="I184" s="1" t="s">
        <v>649</v>
      </c>
      <c r="J184" s="1" t="s">
        <v>926</v>
      </c>
    </row>
    <row r="185" spans="1:10" x14ac:dyDescent="0.3">
      <c r="A185" s="1" t="s">
        <v>602</v>
      </c>
      <c r="B185" s="1" t="s">
        <v>661</v>
      </c>
      <c r="C185" s="1" t="s">
        <v>19</v>
      </c>
      <c r="D185" s="8">
        <v>45885</v>
      </c>
      <c r="E185" s="8">
        <v>45890</v>
      </c>
      <c r="F185">
        <v>394</v>
      </c>
      <c r="G185">
        <v>87</v>
      </c>
      <c r="H185">
        <v>34278</v>
      </c>
      <c r="I185" s="1" t="s">
        <v>643</v>
      </c>
      <c r="J185" s="1" t="s">
        <v>915</v>
      </c>
    </row>
    <row r="186" spans="1:10" x14ac:dyDescent="0.3">
      <c r="A186" s="1" t="s">
        <v>604</v>
      </c>
      <c r="B186" s="1" t="s">
        <v>669</v>
      </c>
      <c r="C186" s="1" t="s">
        <v>30</v>
      </c>
      <c r="D186" s="8">
        <v>46178</v>
      </c>
      <c r="E186" s="8">
        <v>46187</v>
      </c>
      <c r="F186">
        <v>232</v>
      </c>
      <c r="G186">
        <v>109</v>
      </c>
      <c r="H186">
        <v>25288</v>
      </c>
      <c r="I186" s="1" t="s">
        <v>649</v>
      </c>
      <c r="J186" s="1" t="s">
        <v>915</v>
      </c>
    </row>
    <row r="187" spans="1:10" x14ac:dyDescent="0.3">
      <c r="A187" s="1" t="s">
        <v>606</v>
      </c>
      <c r="B187" s="1" t="s">
        <v>661</v>
      </c>
      <c r="C187" s="1" t="s">
        <v>30</v>
      </c>
      <c r="D187" s="8">
        <v>45939</v>
      </c>
      <c r="E187" s="8">
        <v>45950</v>
      </c>
      <c r="F187">
        <v>291</v>
      </c>
      <c r="G187">
        <v>276</v>
      </c>
      <c r="H187">
        <v>80316</v>
      </c>
      <c r="I187" s="1" t="s">
        <v>643</v>
      </c>
      <c r="J187" s="1" t="s">
        <v>915</v>
      </c>
    </row>
    <row r="188" spans="1:10" x14ac:dyDescent="0.3">
      <c r="A188" s="1" t="s">
        <v>608</v>
      </c>
      <c r="B188" s="1" t="s">
        <v>652</v>
      </c>
      <c r="C188" s="1" t="s">
        <v>24</v>
      </c>
      <c r="D188" s="8">
        <v>45905</v>
      </c>
      <c r="E188" s="8">
        <v>45918</v>
      </c>
      <c r="F188">
        <v>432</v>
      </c>
      <c r="G188">
        <v>171</v>
      </c>
      <c r="H188">
        <v>73872</v>
      </c>
      <c r="I188" s="1" t="s">
        <v>643</v>
      </c>
      <c r="J188" s="1" t="s">
        <v>911</v>
      </c>
    </row>
    <row r="189" spans="1:10" x14ac:dyDescent="0.3">
      <c r="A189" s="1" t="s">
        <v>610</v>
      </c>
      <c r="B189" s="1" t="s">
        <v>658</v>
      </c>
      <c r="C189" s="1" t="s">
        <v>28</v>
      </c>
      <c r="D189" s="8">
        <v>46168</v>
      </c>
      <c r="E189" s="8">
        <v>46178</v>
      </c>
      <c r="F189">
        <v>92</v>
      </c>
      <c r="G189">
        <v>406</v>
      </c>
      <c r="H189">
        <v>37352</v>
      </c>
      <c r="I189" s="1" t="s">
        <v>649</v>
      </c>
      <c r="J189" s="1" t="s">
        <v>913</v>
      </c>
    </row>
    <row r="190" spans="1:10" x14ac:dyDescent="0.3">
      <c r="A190" s="1" t="s">
        <v>612</v>
      </c>
      <c r="B190" s="1" t="s">
        <v>661</v>
      </c>
      <c r="C190" s="1" t="s">
        <v>16</v>
      </c>
      <c r="D190" s="8">
        <v>46134</v>
      </c>
      <c r="E190" s="8">
        <v>46149</v>
      </c>
      <c r="F190">
        <v>66</v>
      </c>
      <c r="G190">
        <v>424</v>
      </c>
      <c r="H190">
        <v>27984</v>
      </c>
      <c r="I190" s="1" t="s">
        <v>643</v>
      </c>
      <c r="J190" s="1" t="s">
        <v>915</v>
      </c>
    </row>
    <row r="191" spans="1:10" x14ac:dyDescent="0.3">
      <c r="A191" s="1" t="s">
        <v>614</v>
      </c>
      <c r="B191" s="1" t="s">
        <v>655</v>
      </c>
      <c r="C191" s="1" t="s">
        <v>19</v>
      </c>
      <c r="D191" s="8">
        <v>45869</v>
      </c>
      <c r="E191" s="8">
        <v>45883</v>
      </c>
      <c r="F191">
        <v>83</v>
      </c>
      <c r="G191">
        <v>252</v>
      </c>
      <c r="H191">
        <v>20916</v>
      </c>
      <c r="I191" s="1" t="s">
        <v>649</v>
      </c>
      <c r="J191" s="1" t="s">
        <v>911</v>
      </c>
    </row>
    <row r="192" spans="1:10" x14ac:dyDescent="0.3">
      <c r="A192" s="1" t="s">
        <v>616</v>
      </c>
      <c r="B192" s="1" t="s">
        <v>653</v>
      </c>
      <c r="C192" s="1" t="s">
        <v>24</v>
      </c>
      <c r="D192" s="8">
        <v>46101</v>
      </c>
      <c r="E192" s="8">
        <v>46115</v>
      </c>
      <c r="F192">
        <v>441</v>
      </c>
      <c r="G192">
        <v>346</v>
      </c>
      <c r="H192">
        <v>152586</v>
      </c>
      <c r="I192" s="1" t="s">
        <v>649</v>
      </c>
      <c r="J192" s="1" t="s">
        <v>911</v>
      </c>
    </row>
    <row r="193" spans="1:10" x14ac:dyDescent="0.3">
      <c r="A193" s="1" t="s">
        <v>618</v>
      </c>
      <c r="B193" s="1" t="s">
        <v>675</v>
      </c>
      <c r="C193" s="1" t="s">
        <v>11</v>
      </c>
      <c r="D193" s="8">
        <v>46020</v>
      </c>
      <c r="E193" s="8">
        <v>46040</v>
      </c>
      <c r="F193">
        <v>261</v>
      </c>
      <c r="G193">
        <v>32</v>
      </c>
      <c r="H193">
        <v>8352</v>
      </c>
      <c r="I193" s="1" t="s">
        <v>649</v>
      </c>
      <c r="J193" s="1" t="s">
        <v>915</v>
      </c>
    </row>
    <row r="194" spans="1:10" x14ac:dyDescent="0.3">
      <c r="A194" s="1" t="s">
        <v>620</v>
      </c>
      <c r="B194" s="1" t="s">
        <v>675</v>
      </c>
      <c r="C194" s="1" t="s">
        <v>19</v>
      </c>
      <c r="D194" s="8">
        <v>45982</v>
      </c>
      <c r="E194" s="8">
        <v>45999</v>
      </c>
      <c r="F194">
        <v>351</v>
      </c>
      <c r="G194">
        <v>52</v>
      </c>
      <c r="H194">
        <v>18252</v>
      </c>
      <c r="I194" s="1" t="s">
        <v>649</v>
      </c>
      <c r="J194" s="1" t="s">
        <v>915</v>
      </c>
    </row>
    <row r="195" spans="1:10" x14ac:dyDescent="0.3">
      <c r="A195" s="1" t="s">
        <v>622</v>
      </c>
      <c r="B195" s="1" t="s">
        <v>645</v>
      </c>
      <c r="C195" s="1" t="s">
        <v>16</v>
      </c>
      <c r="D195" s="8">
        <v>46018</v>
      </c>
      <c r="E195" s="8">
        <v>46022</v>
      </c>
      <c r="F195">
        <v>79</v>
      </c>
      <c r="G195">
        <v>91</v>
      </c>
      <c r="H195">
        <v>7189</v>
      </c>
      <c r="I195" s="1" t="s">
        <v>643</v>
      </c>
      <c r="J195" s="1" t="s">
        <v>913</v>
      </c>
    </row>
    <row r="196" spans="1:10" x14ac:dyDescent="0.3">
      <c r="A196" s="1" t="s">
        <v>624</v>
      </c>
      <c r="B196" s="1" t="s">
        <v>685</v>
      </c>
      <c r="C196" s="1" t="s">
        <v>8</v>
      </c>
      <c r="D196" s="8">
        <v>45999</v>
      </c>
      <c r="E196" s="8">
        <v>46009</v>
      </c>
      <c r="F196">
        <v>79</v>
      </c>
      <c r="G196">
        <v>69</v>
      </c>
      <c r="H196">
        <v>5451</v>
      </c>
      <c r="I196" s="1" t="s">
        <v>646</v>
      </c>
      <c r="J196" s="1" t="s">
        <v>911</v>
      </c>
    </row>
    <row r="197" spans="1:10" x14ac:dyDescent="0.3">
      <c r="A197" s="1" t="s">
        <v>626</v>
      </c>
      <c r="B197" s="1" t="s">
        <v>653</v>
      </c>
      <c r="C197" s="1" t="s">
        <v>28</v>
      </c>
      <c r="D197" s="8">
        <v>45900</v>
      </c>
      <c r="E197" s="8">
        <v>45920</v>
      </c>
      <c r="F197">
        <v>252</v>
      </c>
      <c r="G197">
        <v>209</v>
      </c>
      <c r="H197">
        <v>52668</v>
      </c>
      <c r="I197" s="1" t="s">
        <v>649</v>
      </c>
      <c r="J197" s="1" t="s">
        <v>911</v>
      </c>
    </row>
    <row r="198" spans="1:10" x14ac:dyDescent="0.3">
      <c r="A198" s="1" t="s">
        <v>628</v>
      </c>
      <c r="B198" s="1" t="s">
        <v>669</v>
      </c>
      <c r="C198" s="1" t="s">
        <v>24</v>
      </c>
      <c r="D198" s="8">
        <v>45935</v>
      </c>
      <c r="E198" s="8">
        <v>45951</v>
      </c>
      <c r="F198">
        <v>392</v>
      </c>
      <c r="G198">
        <v>99</v>
      </c>
      <c r="H198">
        <v>38808</v>
      </c>
      <c r="I198" s="1" t="s">
        <v>643</v>
      </c>
      <c r="J198" s="1" t="s">
        <v>915</v>
      </c>
    </row>
    <row r="199" spans="1:10" x14ac:dyDescent="0.3">
      <c r="A199" s="1" t="s">
        <v>630</v>
      </c>
      <c r="B199" s="1" t="s">
        <v>691</v>
      </c>
      <c r="C199" s="1" t="s">
        <v>16</v>
      </c>
      <c r="D199" s="8">
        <v>45919</v>
      </c>
      <c r="E199" s="8">
        <v>45930</v>
      </c>
      <c r="F199">
        <v>228</v>
      </c>
      <c r="G199">
        <v>500</v>
      </c>
      <c r="H199">
        <v>114000</v>
      </c>
      <c r="I199" s="1" t="s">
        <v>649</v>
      </c>
      <c r="J199" s="1" t="s">
        <v>908</v>
      </c>
    </row>
    <row r="200" spans="1:10" x14ac:dyDescent="0.3">
      <c r="A200" s="1" t="s">
        <v>632</v>
      </c>
      <c r="B200" s="1" t="s">
        <v>661</v>
      </c>
      <c r="C200" s="1" t="s">
        <v>46</v>
      </c>
      <c r="D200" s="8">
        <v>46093</v>
      </c>
      <c r="E200" s="8">
        <v>46110</v>
      </c>
      <c r="F200">
        <v>131</v>
      </c>
      <c r="G200">
        <v>247</v>
      </c>
      <c r="H200">
        <v>32357</v>
      </c>
      <c r="I200" s="1" t="s">
        <v>643</v>
      </c>
      <c r="J200" s="1" t="s">
        <v>915</v>
      </c>
    </row>
    <row r="201" spans="1:10" x14ac:dyDescent="0.3">
      <c r="A201" s="1" t="s">
        <v>634</v>
      </c>
      <c r="B201" s="1" t="s">
        <v>650</v>
      </c>
      <c r="C201" s="1" t="s">
        <v>11</v>
      </c>
      <c r="D201" s="8">
        <v>45934</v>
      </c>
      <c r="E201" s="8">
        <v>45954</v>
      </c>
      <c r="F201">
        <v>371</v>
      </c>
      <c r="G201">
        <v>208</v>
      </c>
      <c r="H201">
        <v>77168</v>
      </c>
      <c r="I201" s="1" t="s">
        <v>646</v>
      </c>
      <c r="J201" s="1" t="s">
        <v>915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197C4-09D8-4D83-85BD-1CD3C5BAD52C}">
  <dimension ref="A1:I201"/>
  <sheetViews>
    <sheetView topLeftCell="C1" workbookViewId="0">
      <selection activeCell="K16" sqref="K16"/>
    </sheetView>
  </sheetViews>
  <sheetFormatPr defaultRowHeight="14.4" x14ac:dyDescent="0.3"/>
  <cols>
    <col min="1" max="1" width="13.21875" bestFit="1" customWidth="1"/>
    <col min="2" max="2" width="12.88671875" bestFit="1" customWidth="1"/>
    <col min="3" max="3" width="13.6640625" bestFit="1" customWidth="1"/>
    <col min="4" max="4" width="14.33203125" bestFit="1" customWidth="1"/>
    <col min="5" max="5" width="18.6640625" bestFit="1" customWidth="1"/>
    <col min="6" max="6" width="10.33203125" bestFit="1" customWidth="1"/>
    <col min="7" max="7" width="11.77734375" bestFit="1" customWidth="1"/>
    <col min="8" max="8" width="12.88671875" bestFit="1" customWidth="1"/>
    <col min="9" max="9" width="9.109375" bestFit="1" customWidth="1"/>
  </cols>
  <sheetData>
    <row r="1" spans="1:9" x14ac:dyDescent="0.3">
      <c r="A1" t="s">
        <v>223</v>
      </c>
      <c r="B1" t="s">
        <v>635</v>
      </c>
      <c r="C1" t="s">
        <v>1</v>
      </c>
      <c r="D1" t="s">
        <v>636</v>
      </c>
      <c r="E1" t="s">
        <v>637</v>
      </c>
      <c r="F1" t="s">
        <v>638</v>
      </c>
      <c r="G1" t="s">
        <v>639</v>
      </c>
      <c r="H1" t="s">
        <v>640</v>
      </c>
      <c r="I1" t="s">
        <v>641</v>
      </c>
    </row>
    <row r="2" spans="1:9" x14ac:dyDescent="0.3">
      <c r="A2" s="1" t="s">
        <v>233</v>
      </c>
      <c r="B2" s="1" t="s">
        <v>642</v>
      </c>
      <c r="C2" s="1" t="s">
        <v>33</v>
      </c>
      <c r="D2" s="8">
        <v>46170</v>
      </c>
      <c r="E2" s="8">
        <v>46180</v>
      </c>
      <c r="F2">
        <v>315</v>
      </c>
      <c r="G2">
        <v>262</v>
      </c>
      <c r="H2">
        <v>82530</v>
      </c>
      <c r="I2" s="1" t="s">
        <v>643</v>
      </c>
    </row>
    <row r="3" spans="1:9" x14ac:dyDescent="0.3">
      <c r="A3" s="1" t="s">
        <v>236</v>
      </c>
      <c r="B3" s="1" t="s">
        <v>644</v>
      </c>
      <c r="C3" s="1" t="s">
        <v>11</v>
      </c>
      <c r="D3" s="8">
        <v>45862</v>
      </c>
      <c r="E3" s="8">
        <v>45878</v>
      </c>
      <c r="F3">
        <v>68</v>
      </c>
      <c r="G3">
        <v>69</v>
      </c>
      <c r="H3">
        <v>4692</v>
      </c>
      <c r="I3" s="1" t="s">
        <v>643</v>
      </c>
    </row>
    <row r="4" spans="1:9" x14ac:dyDescent="0.3">
      <c r="A4" s="1" t="s">
        <v>239</v>
      </c>
      <c r="B4" s="1" t="s">
        <v>645</v>
      </c>
      <c r="C4" s="1" t="s">
        <v>24</v>
      </c>
      <c r="D4" s="8">
        <v>45909</v>
      </c>
      <c r="E4" s="8">
        <v>45913</v>
      </c>
      <c r="F4">
        <v>259</v>
      </c>
      <c r="G4">
        <v>462</v>
      </c>
      <c r="H4">
        <v>119658</v>
      </c>
      <c r="I4" s="1" t="s">
        <v>646</v>
      </c>
    </row>
    <row r="5" spans="1:9" x14ac:dyDescent="0.3">
      <c r="A5" s="1" t="s">
        <v>241</v>
      </c>
      <c r="B5" s="1" t="s">
        <v>647</v>
      </c>
      <c r="C5" s="1" t="s">
        <v>46</v>
      </c>
      <c r="D5" s="8">
        <v>46010</v>
      </c>
      <c r="E5" s="8">
        <v>46016</v>
      </c>
      <c r="F5">
        <v>392</v>
      </c>
      <c r="G5">
        <v>193</v>
      </c>
      <c r="H5">
        <v>75656</v>
      </c>
      <c r="I5" s="1" t="s">
        <v>646</v>
      </c>
    </row>
    <row r="6" spans="1:9" x14ac:dyDescent="0.3">
      <c r="A6" s="1" t="s">
        <v>243</v>
      </c>
      <c r="B6" s="1" t="s">
        <v>644</v>
      </c>
      <c r="C6" s="1" t="s">
        <v>28</v>
      </c>
      <c r="D6" s="8">
        <v>46092</v>
      </c>
      <c r="E6" s="8">
        <v>46099</v>
      </c>
      <c r="F6">
        <v>294</v>
      </c>
      <c r="G6">
        <v>249</v>
      </c>
      <c r="H6">
        <v>73206</v>
      </c>
      <c r="I6" s="1" t="s">
        <v>646</v>
      </c>
    </row>
    <row r="7" spans="1:9" x14ac:dyDescent="0.3">
      <c r="A7" s="1" t="s">
        <v>245</v>
      </c>
      <c r="B7" s="1" t="s">
        <v>648</v>
      </c>
      <c r="C7" s="1" t="s">
        <v>33</v>
      </c>
      <c r="D7" s="8">
        <v>46145</v>
      </c>
      <c r="E7" s="8">
        <v>46150</v>
      </c>
      <c r="F7">
        <v>256</v>
      </c>
      <c r="G7">
        <v>147</v>
      </c>
      <c r="H7">
        <v>37632</v>
      </c>
      <c r="I7" s="1" t="s">
        <v>649</v>
      </c>
    </row>
    <row r="8" spans="1:9" x14ac:dyDescent="0.3">
      <c r="A8" s="1" t="s">
        <v>247</v>
      </c>
      <c r="B8" s="1" t="s">
        <v>650</v>
      </c>
      <c r="C8" s="1" t="s">
        <v>16</v>
      </c>
      <c r="D8" s="8">
        <v>45958</v>
      </c>
      <c r="E8" s="8">
        <v>45978</v>
      </c>
      <c r="F8">
        <v>45</v>
      </c>
      <c r="G8">
        <v>353</v>
      </c>
      <c r="H8">
        <v>15885</v>
      </c>
      <c r="I8" s="1" t="s">
        <v>646</v>
      </c>
    </row>
    <row r="9" spans="1:9" x14ac:dyDescent="0.3">
      <c r="A9" s="1" t="s">
        <v>249</v>
      </c>
      <c r="B9" s="1" t="s">
        <v>651</v>
      </c>
      <c r="C9" s="1" t="s">
        <v>28</v>
      </c>
      <c r="D9" s="8">
        <v>46010</v>
      </c>
      <c r="E9" s="8">
        <v>46018</v>
      </c>
      <c r="F9">
        <v>454</v>
      </c>
      <c r="G9">
        <v>141</v>
      </c>
      <c r="H9">
        <v>64014</v>
      </c>
      <c r="I9" s="1" t="s">
        <v>643</v>
      </c>
    </row>
    <row r="10" spans="1:9" x14ac:dyDescent="0.3">
      <c r="A10" s="1" t="s">
        <v>251</v>
      </c>
      <c r="B10" s="1" t="s">
        <v>652</v>
      </c>
      <c r="C10" s="1" t="s">
        <v>16</v>
      </c>
      <c r="D10" s="8">
        <v>45928</v>
      </c>
      <c r="E10" s="8">
        <v>45943</v>
      </c>
      <c r="F10">
        <v>129</v>
      </c>
      <c r="G10">
        <v>462</v>
      </c>
      <c r="H10">
        <v>59598</v>
      </c>
      <c r="I10" s="1" t="s">
        <v>646</v>
      </c>
    </row>
    <row r="11" spans="1:9" x14ac:dyDescent="0.3">
      <c r="A11" s="1" t="s">
        <v>254</v>
      </c>
      <c r="B11" s="1" t="s">
        <v>653</v>
      </c>
      <c r="C11" s="1" t="s">
        <v>33</v>
      </c>
      <c r="D11" s="8">
        <v>46114</v>
      </c>
      <c r="E11" s="8">
        <v>46125</v>
      </c>
      <c r="F11">
        <v>21</v>
      </c>
      <c r="G11">
        <v>219</v>
      </c>
      <c r="H11">
        <v>4599</v>
      </c>
      <c r="I11" s="1" t="s">
        <v>643</v>
      </c>
    </row>
    <row r="12" spans="1:9" x14ac:dyDescent="0.3">
      <c r="A12" s="1" t="s">
        <v>256</v>
      </c>
      <c r="B12" s="1" t="s">
        <v>654</v>
      </c>
      <c r="C12" s="1" t="s">
        <v>33</v>
      </c>
      <c r="D12" s="8">
        <v>46024</v>
      </c>
      <c r="E12" s="8">
        <v>46044</v>
      </c>
      <c r="F12">
        <v>376</v>
      </c>
      <c r="G12">
        <v>394</v>
      </c>
      <c r="H12">
        <v>148144</v>
      </c>
      <c r="I12" s="1" t="s">
        <v>646</v>
      </c>
    </row>
    <row r="13" spans="1:9" x14ac:dyDescent="0.3">
      <c r="A13" s="1" t="s">
        <v>258</v>
      </c>
      <c r="B13" s="1" t="s">
        <v>644</v>
      </c>
      <c r="C13" s="1" t="s">
        <v>14</v>
      </c>
      <c r="D13" s="8">
        <v>46134</v>
      </c>
      <c r="E13" s="8">
        <v>46138</v>
      </c>
      <c r="F13">
        <v>171</v>
      </c>
      <c r="G13">
        <v>131</v>
      </c>
      <c r="H13">
        <v>22401</v>
      </c>
      <c r="I13" s="1" t="s">
        <v>649</v>
      </c>
    </row>
    <row r="14" spans="1:9" x14ac:dyDescent="0.3">
      <c r="A14" s="1" t="s">
        <v>260</v>
      </c>
      <c r="B14" s="1" t="s">
        <v>655</v>
      </c>
      <c r="C14" s="1" t="s">
        <v>16</v>
      </c>
      <c r="D14" s="8">
        <v>45892</v>
      </c>
      <c r="E14" s="8">
        <v>45905</v>
      </c>
      <c r="F14">
        <v>51</v>
      </c>
      <c r="G14">
        <v>402</v>
      </c>
      <c r="H14">
        <v>20502</v>
      </c>
      <c r="I14" s="1" t="s">
        <v>646</v>
      </c>
    </row>
    <row r="15" spans="1:9" x14ac:dyDescent="0.3">
      <c r="A15" s="1" t="s">
        <v>262</v>
      </c>
      <c r="B15" s="1" t="s">
        <v>656</v>
      </c>
      <c r="C15" s="1" t="s">
        <v>30</v>
      </c>
      <c r="D15" s="8">
        <v>46096</v>
      </c>
      <c r="E15" s="8">
        <v>46115</v>
      </c>
      <c r="F15">
        <v>264</v>
      </c>
      <c r="G15">
        <v>277</v>
      </c>
      <c r="H15">
        <v>73128</v>
      </c>
      <c r="I15" s="1" t="s">
        <v>646</v>
      </c>
    </row>
    <row r="16" spans="1:9" x14ac:dyDescent="0.3">
      <c r="A16" s="1" t="s">
        <v>264</v>
      </c>
      <c r="B16" s="1" t="s">
        <v>657</v>
      </c>
      <c r="C16" s="1" t="s">
        <v>24</v>
      </c>
      <c r="D16" s="8">
        <v>46011</v>
      </c>
      <c r="E16" s="8">
        <v>46019</v>
      </c>
      <c r="F16">
        <v>61</v>
      </c>
      <c r="G16">
        <v>455</v>
      </c>
      <c r="H16">
        <v>27755</v>
      </c>
      <c r="I16" s="1" t="s">
        <v>649</v>
      </c>
    </row>
    <row r="17" spans="1:9" x14ac:dyDescent="0.3">
      <c r="A17" s="1" t="s">
        <v>266</v>
      </c>
      <c r="B17" s="1" t="s">
        <v>658</v>
      </c>
      <c r="C17" s="1" t="s">
        <v>28</v>
      </c>
      <c r="D17" s="8">
        <v>46158</v>
      </c>
      <c r="E17" s="8">
        <v>46168</v>
      </c>
      <c r="F17">
        <v>365</v>
      </c>
      <c r="G17">
        <v>461</v>
      </c>
      <c r="H17">
        <v>168265</v>
      </c>
      <c r="I17" s="1" t="s">
        <v>646</v>
      </c>
    </row>
    <row r="18" spans="1:9" x14ac:dyDescent="0.3">
      <c r="A18" s="1" t="s">
        <v>268</v>
      </c>
      <c r="B18" s="1" t="s">
        <v>642</v>
      </c>
      <c r="C18" s="1" t="s">
        <v>14</v>
      </c>
      <c r="D18" s="8">
        <v>46063</v>
      </c>
      <c r="E18" s="8">
        <v>46067</v>
      </c>
      <c r="F18">
        <v>146</v>
      </c>
      <c r="G18">
        <v>316</v>
      </c>
      <c r="H18">
        <v>46136</v>
      </c>
      <c r="I18" s="1" t="s">
        <v>646</v>
      </c>
    </row>
    <row r="19" spans="1:9" x14ac:dyDescent="0.3">
      <c r="A19" s="1" t="s">
        <v>270</v>
      </c>
      <c r="B19" s="1" t="s">
        <v>645</v>
      </c>
      <c r="C19" s="1" t="s">
        <v>11</v>
      </c>
      <c r="D19" s="8">
        <v>45991</v>
      </c>
      <c r="E19" s="8">
        <v>46010</v>
      </c>
      <c r="F19">
        <v>356</v>
      </c>
      <c r="G19">
        <v>318</v>
      </c>
      <c r="H19">
        <v>113208</v>
      </c>
      <c r="I19" s="1" t="s">
        <v>643</v>
      </c>
    </row>
    <row r="20" spans="1:9" x14ac:dyDescent="0.3">
      <c r="A20" s="1" t="s">
        <v>272</v>
      </c>
      <c r="B20" s="1" t="s">
        <v>659</v>
      </c>
      <c r="C20" s="1" t="s">
        <v>46</v>
      </c>
      <c r="D20" s="8">
        <v>45955</v>
      </c>
      <c r="E20" s="8">
        <v>45968</v>
      </c>
      <c r="F20">
        <v>362</v>
      </c>
      <c r="G20">
        <v>386</v>
      </c>
      <c r="H20">
        <v>139732</v>
      </c>
      <c r="I20" s="1" t="s">
        <v>643</v>
      </c>
    </row>
    <row r="21" spans="1:9" x14ac:dyDescent="0.3">
      <c r="A21" s="1" t="s">
        <v>274</v>
      </c>
      <c r="B21" s="1" t="s">
        <v>647</v>
      </c>
      <c r="C21" s="1" t="s">
        <v>33</v>
      </c>
      <c r="D21" s="8">
        <v>46030</v>
      </c>
      <c r="E21" s="8">
        <v>46042</v>
      </c>
      <c r="F21">
        <v>87</v>
      </c>
      <c r="G21">
        <v>363</v>
      </c>
      <c r="H21">
        <v>31581</v>
      </c>
      <c r="I21" s="1" t="s">
        <v>643</v>
      </c>
    </row>
    <row r="22" spans="1:9" x14ac:dyDescent="0.3">
      <c r="A22" s="1" t="s">
        <v>276</v>
      </c>
      <c r="B22" s="1" t="s">
        <v>651</v>
      </c>
      <c r="C22" s="1" t="s">
        <v>33</v>
      </c>
      <c r="D22" s="8">
        <v>45854</v>
      </c>
      <c r="E22" s="8">
        <v>45857</v>
      </c>
      <c r="F22">
        <v>499</v>
      </c>
      <c r="G22">
        <v>57</v>
      </c>
      <c r="H22">
        <v>28443</v>
      </c>
      <c r="I22" s="1" t="s">
        <v>649</v>
      </c>
    </row>
    <row r="23" spans="1:9" x14ac:dyDescent="0.3">
      <c r="A23" s="1" t="s">
        <v>278</v>
      </c>
      <c r="B23" s="1" t="s">
        <v>642</v>
      </c>
      <c r="C23" s="1" t="s">
        <v>46</v>
      </c>
      <c r="D23" s="8">
        <v>46049</v>
      </c>
      <c r="E23" s="8">
        <v>46069</v>
      </c>
      <c r="F23">
        <v>71</v>
      </c>
      <c r="G23">
        <v>57</v>
      </c>
      <c r="H23">
        <v>4047</v>
      </c>
      <c r="I23" s="1" t="s">
        <v>649</v>
      </c>
    </row>
    <row r="24" spans="1:9" x14ac:dyDescent="0.3">
      <c r="A24" s="1" t="s">
        <v>280</v>
      </c>
      <c r="B24" s="1" t="s">
        <v>660</v>
      </c>
      <c r="C24" s="1" t="s">
        <v>24</v>
      </c>
      <c r="D24" s="8">
        <v>46087</v>
      </c>
      <c r="E24" s="8">
        <v>46101</v>
      </c>
      <c r="F24">
        <v>87</v>
      </c>
      <c r="G24">
        <v>497</v>
      </c>
      <c r="H24">
        <v>43239</v>
      </c>
      <c r="I24" s="1" t="s">
        <v>646</v>
      </c>
    </row>
    <row r="25" spans="1:9" x14ac:dyDescent="0.3">
      <c r="A25" s="1" t="s">
        <v>282</v>
      </c>
      <c r="B25" s="1" t="s">
        <v>661</v>
      </c>
      <c r="C25" s="1" t="s">
        <v>8</v>
      </c>
      <c r="D25" s="8">
        <v>45970</v>
      </c>
      <c r="E25" s="8">
        <v>45987</v>
      </c>
      <c r="F25">
        <v>165</v>
      </c>
      <c r="G25">
        <v>100</v>
      </c>
      <c r="H25">
        <v>16500</v>
      </c>
      <c r="I25" s="1" t="s">
        <v>649</v>
      </c>
    </row>
    <row r="26" spans="1:9" x14ac:dyDescent="0.3">
      <c r="A26" s="1" t="s">
        <v>284</v>
      </c>
      <c r="B26" s="1" t="s">
        <v>662</v>
      </c>
      <c r="C26" s="1" t="s">
        <v>16</v>
      </c>
      <c r="D26" s="8">
        <v>46066</v>
      </c>
      <c r="E26" s="8">
        <v>46085</v>
      </c>
      <c r="F26">
        <v>333</v>
      </c>
      <c r="G26">
        <v>433</v>
      </c>
      <c r="H26">
        <v>144189</v>
      </c>
      <c r="I26" s="1" t="s">
        <v>649</v>
      </c>
    </row>
    <row r="27" spans="1:9" x14ac:dyDescent="0.3">
      <c r="A27" s="1" t="s">
        <v>286</v>
      </c>
      <c r="B27" s="1" t="s">
        <v>663</v>
      </c>
      <c r="C27" s="1" t="s">
        <v>30</v>
      </c>
      <c r="D27" s="8">
        <v>46136</v>
      </c>
      <c r="E27" s="8">
        <v>46142</v>
      </c>
      <c r="F27">
        <v>173</v>
      </c>
      <c r="G27">
        <v>497</v>
      </c>
      <c r="H27">
        <v>85981</v>
      </c>
      <c r="I27" s="1" t="s">
        <v>643</v>
      </c>
    </row>
    <row r="28" spans="1:9" x14ac:dyDescent="0.3">
      <c r="A28" s="1" t="s">
        <v>288</v>
      </c>
      <c r="B28" s="1" t="s">
        <v>664</v>
      </c>
      <c r="C28" s="1" t="s">
        <v>30</v>
      </c>
      <c r="D28" s="8">
        <v>45993</v>
      </c>
      <c r="E28" s="8">
        <v>46013</v>
      </c>
      <c r="F28">
        <v>475</v>
      </c>
      <c r="G28">
        <v>74</v>
      </c>
      <c r="H28">
        <v>35150</v>
      </c>
      <c r="I28" s="1" t="s">
        <v>643</v>
      </c>
    </row>
    <row r="29" spans="1:9" x14ac:dyDescent="0.3">
      <c r="A29" s="1" t="s">
        <v>290</v>
      </c>
      <c r="B29" s="1" t="s">
        <v>665</v>
      </c>
      <c r="C29" s="1" t="s">
        <v>46</v>
      </c>
      <c r="D29" s="8">
        <v>45904</v>
      </c>
      <c r="E29" s="8">
        <v>45917</v>
      </c>
      <c r="F29">
        <v>329</v>
      </c>
      <c r="G29">
        <v>127</v>
      </c>
      <c r="H29">
        <v>41783</v>
      </c>
      <c r="I29" s="1" t="s">
        <v>649</v>
      </c>
    </row>
    <row r="30" spans="1:9" x14ac:dyDescent="0.3">
      <c r="A30" s="1" t="s">
        <v>292</v>
      </c>
      <c r="B30" s="1" t="s">
        <v>666</v>
      </c>
      <c r="C30" s="1" t="s">
        <v>33</v>
      </c>
      <c r="D30" s="8">
        <v>45864</v>
      </c>
      <c r="E30" s="8">
        <v>45883</v>
      </c>
      <c r="F30">
        <v>456</v>
      </c>
      <c r="G30">
        <v>155</v>
      </c>
      <c r="H30">
        <v>70680</v>
      </c>
      <c r="I30" s="1" t="s">
        <v>643</v>
      </c>
    </row>
    <row r="31" spans="1:9" x14ac:dyDescent="0.3">
      <c r="A31" s="1" t="s">
        <v>294</v>
      </c>
      <c r="B31" s="1" t="s">
        <v>667</v>
      </c>
      <c r="C31" s="1" t="s">
        <v>19</v>
      </c>
      <c r="D31" s="8">
        <v>45951</v>
      </c>
      <c r="E31" s="8">
        <v>45967</v>
      </c>
      <c r="F31">
        <v>67</v>
      </c>
      <c r="G31">
        <v>344</v>
      </c>
      <c r="H31">
        <v>23048</v>
      </c>
      <c r="I31" s="1" t="s">
        <v>646</v>
      </c>
    </row>
    <row r="32" spans="1:9" x14ac:dyDescent="0.3">
      <c r="A32" s="1" t="s">
        <v>296</v>
      </c>
      <c r="B32" s="1" t="s">
        <v>668</v>
      </c>
      <c r="C32" s="1" t="s">
        <v>19</v>
      </c>
      <c r="D32" s="8">
        <v>45921</v>
      </c>
      <c r="E32" s="8">
        <v>45928</v>
      </c>
      <c r="F32">
        <v>190</v>
      </c>
      <c r="G32">
        <v>414</v>
      </c>
      <c r="H32">
        <v>78660</v>
      </c>
      <c r="I32" s="1" t="s">
        <v>646</v>
      </c>
    </row>
    <row r="33" spans="1:9" x14ac:dyDescent="0.3">
      <c r="A33" s="1" t="s">
        <v>298</v>
      </c>
      <c r="B33" s="1" t="s">
        <v>669</v>
      </c>
      <c r="C33" s="1" t="s">
        <v>8</v>
      </c>
      <c r="D33" s="8">
        <v>46060</v>
      </c>
      <c r="E33" s="8">
        <v>46076</v>
      </c>
      <c r="F33">
        <v>246</v>
      </c>
      <c r="G33">
        <v>302</v>
      </c>
      <c r="H33">
        <v>74292</v>
      </c>
      <c r="I33" s="1" t="s">
        <v>646</v>
      </c>
    </row>
    <row r="34" spans="1:9" x14ac:dyDescent="0.3">
      <c r="A34" s="1" t="s">
        <v>300</v>
      </c>
      <c r="B34" s="1" t="s">
        <v>664</v>
      </c>
      <c r="C34" s="1" t="s">
        <v>8</v>
      </c>
      <c r="D34" s="8">
        <v>46033</v>
      </c>
      <c r="E34" s="8">
        <v>46040</v>
      </c>
      <c r="F34">
        <v>58</v>
      </c>
      <c r="G34">
        <v>472</v>
      </c>
      <c r="H34">
        <v>27376</v>
      </c>
      <c r="I34" s="1" t="s">
        <v>646</v>
      </c>
    </row>
    <row r="35" spans="1:9" x14ac:dyDescent="0.3">
      <c r="A35" s="1" t="s">
        <v>302</v>
      </c>
      <c r="B35" s="1" t="s">
        <v>661</v>
      </c>
      <c r="C35" s="1" t="s">
        <v>28</v>
      </c>
      <c r="D35" s="8">
        <v>45924</v>
      </c>
      <c r="E35" s="8">
        <v>45931</v>
      </c>
      <c r="F35">
        <v>318</v>
      </c>
      <c r="G35">
        <v>302</v>
      </c>
      <c r="H35">
        <v>96036</v>
      </c>
      <c r="I35" s="1" t="s">
        <v>646</v>
      </c>
    </row>
    <row r="36" spans="1:9" x14ac:dyDescent="0.3">
      <c r="A36" s="1" t="s">
        <v>304</v>
      </c>
      <c r="B36" s="1" t="s">
        <v>670</v>
      </c>
      <c r="C36" s="1" t="s">
        <v>11</v>
      </c>
      <c r="D36" s="8">
        <v>46110</v>
      </c>
      <c r="E36" s="8">
        <v>46114</v>
      </c>
      <c r="F36">
        <v>177</v>
      </c>
      <c r="G36">
        <v>206</v>
      </c>
      <c r="H36">
        <v>36462</v>
      </c>
      <c r="I36" s="1" t="s">
        <v>646</v>
      </c>
    </row>
    <row r="37" spans="1:9" x14ac:dyDescent="0.3">
      <c r="A37" s="1" t="s">
        <v>306</v>
      </c>
      <c r="B37" s="1" t="s">
        <v>671</v>
      </c>
      <c r="C37" s="1" t="s">
        <v>11</v>
      </c>
      <c r="D37" s="8">
        <v>46031</v>
      </c>
      <c r="E37" s="8">
        <v>46037</v>
      </c>
      <c r="F37">
        <v>147</v>
      </c>
      <c r="G37">
        <v>361</v>
      </c>
      <c r="H37">
        <v>53067</v>
      </c>
      <c r="I37" s="1" t="s">
        <v>649</v>
      </c>
    </row>
    <row r="38" spans="1:9" x14ac:dyDescent="0.3">
      <c r="A38" s="1" t="s">
        <v>308</v>
      </c>
      <c r="B38" s="1" t="s">
        <v>645</v>
      </c>
      <c r="C38" s="1" t="s">
        <v>46</v>
      </c>
      <c r="D38" s="8">
        <v>46147</v>
      </c>
      <c r="E38" s="8">
        <v>46154</v>
      </c>
      <c r="F38">
        <v>337</v>
      </c>
      <c r="G38">
        <v>403</v>
      </c>
      <c r="H38">
        <v>135811</v>
      </c>
      <c r="I38" s="1" t="s">
        <v>646</v>
      </c>
    </row>
    <row r="39" spans="1:9" x14ac:dyDescent="0.3">
      <c r="A39" s="1" t="s">
        <v>310</v>
      </c>
      <c r="B39" s="1" t="s">
        <v>672</v>
      </c>
      <c r="C39" s="1" t="s">
        <v>30</v>
      </c>
      <c r="D39" s="8">
        <v>45954</v>
      </c>
      <c r="E39" s="8">
        <v>45957</v>
      </c>
      <c r="F39">
        <v>471</v>
      </c>
      <c r="G39">
        <v>231</v>
      </c>
      <c r="H39">
        <v>108801</v>
      </c>
      <c r="I39" s="1" t="s">
        <v>649</v>
      </c>
    </row>
    <row r="40" spans="1:9" x14ac:dyDescent="0.3">
      <c r="A40" s="1" t="s">
        <v>312</v>
      </c>
      <c r="B40" s="1" t="s">
        <v>673</v>
      </c>
      <c r="C40" s="1" t="s">
        <v>46</v>
      </c>
      <c r="D40" s="8">
        <v>46076</v>
      </c>
      <c r="E40" s="8">
        <v>46092</v>
      </c>
      <c r="F40">
        <v>420</v>
      </c>
      <c r="G40">
        <v>496</v>
      </c>
      <c r="H40">
        <v>208320</v>
      </c>
      <c r="I40" s="1" t="s">
        <v>643</v>
      </c>
    </row>
    <row r="41" spans="1:9" x14ac:dyDescent="0.3">
      <c r="A41" s="1" t="s">
        <v>314</v>
      </c>
      <c r="B41" s="1" t="s">
        <v>674</v>
      </c>
      <c r="C41" s="1" t="s">
        <v>28</v>
      </c>
      <c r="D41" s="8">
        <v>46046</v>
      </c>
      <c r="E41" s="8">
        <v>46052</v>
      </c>
      <c r="F41">
        <v>423</v>
      </c>
      <c r="G41">
        <v>379</v>
      </c>
      <c r="H41">
        <v>160317</v>
      </c>
      <c r="I41" s="1" t="s">
        <v>646</v>
      </c>
    </row>
    <row r="42" spans="1:9" x14ac:dyDescent="0.3">
      <c r="A42" s="1" t="s">
        <v>316</v>
      </c>
      <c r="B42" s="1" t="s">
        <v>652</v>
      </c>
      <c r="C42" s="1" t="s">
        <v>11</v>
      </c>
      <c r="D42" s="8">
        <v>46026</v>
      </c>
      <c r="E42" s="8">
        <v>46043</v>
      </c>
      <c r="F42">
        <v>133</v>
      </c>
      <c r="G42">
        <v>122</v>
      </c>
      <c r="H42">
        <v>16226</v>
      </c>
      <c r="I42" s="1" t="s">
        <v>643</v>
      </c>
    </row>
    <row r="43" spans="1:9" x14ac:dyDescent="0.3">
      <c r="A43" s="1" t="s">
        <v>318</v>
      </c>
      <c r="B43" s="1" t="s">
        <v>675</v>
      </c>
      <c r="C43" s="1" t="s">
        <v>28</v>
      </c>
      <c r="D43" s="8">
        <v>46163</v>
      </c>
      <c r="E43" s="8">
        <v>46172</v>
      </c>
      <c r="F43">
        <v>134</v>
      </c>
      <c r="G43">
        <v>32</v>
      </c>
      <c r="H43">
        <v>4288</v>
      </c>
      <c r="I43" s="1" t="s">
        <v>643</v>
      </c>
    </row>
    <row r="44" spans="1:9" x14ac:dyDescent="0.3">
      <c r="A44" s="1" t="s">
        <v>320</v>
      </c>
      <c r="B44" s="1" t="s">
        <v>648</v>
      </c>
      <c r="C44" s="1" t="s">
        <v>11</v>
      </c>
      <c r="D44" s="8">
        <v>46061</v>
      </c>
      <c r="E44" s="8">
        <v>46072</v>
      </c>
      <c r="F44">
        <v>462</v>
      </c>
      <c r="G44">
        <v>55</v>
      </c>
      <c r="H44">
        <v>25410</v>
      </c>
      <c r="I44" s="1" t="s">
        <v>649</v>
      </c>
    </row>
    <row r="45" spans="1:9" x14ac:dyDescent="0.3">
      <c r="A45" s="1" t="s">
        <v>322</v>
      </c>
      <c r="B45" s="1" t="s">
        <v>657</v>
      </c>
      <c r="C45" s="1" t="s">
        <v>11</v>
      </c>
      <c r="D45" s="8">
        <v>46115</v>
      </c>
      <c r="E45" s="8">
        <v>46135</v>
      </c>
      <c r="F45">
        <v>224</v>
      </c>
      <c r="G45">
        <v>367</v>
      </c>
      <c r="H45">
        <v>82208</v>
      </c>
      <c r="I45" s="1" t="s">
        <v>646</v>
      </c>
    </row>
    <row r="46" spans="1:9" x14ac:dyDescent="0.3">
      <c r="A46" s="1" t="s">
        <v>324</v>
      </c>
      <c r="B46" s="1" t="s">
        <v>664</v>
      </c>
      <c r="C46" s="1" t="s">
        <v>14</v>
      </c>
      <c r="D46" s="8">
        <v>45978</v>
      </c>
      <c r="E46" s="8">
        <v>45986</v>
      </c>
      <c r="F46">
        <v>469</v>
      </c>
      <c r="G46">
        <v>153</v>
      </c>
      <c r="H46">
        <v>71757</v>
      </c>
      <c r="I46" s="1" t="s">
        <v>643</v>
      </c>
    </row>
    <row r="47" spans="1:9" x14ac:dyDescent="0.3">
      <c r="A47" s="1" t="s">
        <v>326</v>
      </c>
      <c r="B47" s="1" t="s">
        <v>670</v>
      </c>
      <c r="C47" s="1" t="s">
        <v>11</v>
      </c>
      <c r="D47" s="8">
        <v>46042</v>
      </c>
      <c r="E47" s="8">
        <v>46058</v>
      </c>
      <c r="F47">
        <v>75</v>
      </c>
      <c r="G47">
        <v>325</v>
      </c>
      <c r="H47">
        <v>24375</v>
      </c>
      <c r="I47" s="1" t="s">
        <v>649</v>
      </c>
    </row>
    <row r="48" spans="1:9" x14ac:dyDescent="0.3">
      <c r="A48" s="1" t="s">
        <v>328</v>
      </c>
      <c r="B48" s="1" t="s">
        <v>676</v>
      </c>
      <c r="C48" s="1" t="s">
        <v>24</v>
      </c>
      <c r="D48" s="8">
        <v>45946</v>
      </c>
      <c r="E48" s="8">
        <v>45965</v>
      </c>
      <c r="F48">
        <v>243</v>
      </c>
      <c r="G48">
        <v>330</v>
      </c>
      <c r="H48">
        <v>80190</v>
      </c>
      <c r="I48" s="1" t="s">
        <v>643</v>
      </c>
    </row>
    <row r="49" spans="1:9" x14ac:dyDescent="0.3">
      <c r="A49" s="1" t="s">
        <v>330</v>
      </c>
      <c r="B49" s="1" t="s">
        <v>642</v>
      </c>
      <c r="C49" s="1" t="s">
        <v>28</v>
      </c>
      <c r="D49" s="8">
        <v>46204</v>
      </c>
      <c r="E49" s="8">
        <v>46208</v>
      </c>
      <c r="F49">
        <v>117</v>
      </c>
      <c r="G49">
        <v>150</v>
      </c>
      <c r="H49">
        <v>17550</v>
      </c>
      <c r="I49" s="1" t="s">
        <v>646</v>
      </c>
    </row>
    <row r="50" spans="1:9" x14ac:dyDescent="0.3">
      <c r="A50" s="1" t="s">
        <v>332</v>
      </c>
      <c r="B50" s="1" t="s">
        <v>677</v>
      </c>
      <c r="C50" s="1" t="s">
        <v>46</v>
      </c>
      <c r="D50" s="8">
        <v>46038</v>
      </c>
      <c r="E50" s="8">
        <v>46058</v>
      </c>
      <c r="F50">
        <v>493</v>
      </c>
      <c r="G50">
        <v>432</v>
      </c>
      <c r="H50">
        <v>212976</v>
      </c>
      <c r="I50" s="1" t="s">
        <v>643</v>
      </c>
    </row>
    <row r="51" spans="1:9" x14ac:dyDescent="0.3">
      <c r="A51" s="1" t="s">
        <v>334</v>
      </c>
      <c r="B51" s="1" t="s">
        <v>654</v>
      </c>
      <c r="C51" s="1" t="s">
        <v>14</v>
      </c>
      <c r="D51" s="8">
        <v>45897</v>
      </c>
      <c r="E51" s="8">
        <v>45910</v>
      </c>
      <c r="F51">
        <v>55</v>
      </c>
      <c r="G51">
        <v>360</v>
      </c>
      <c r="H51">
        <v>19800</v>
      </c>
      <c r="I51" s="1" t="s">
        <v>643</v>
      </c>
    </row>
    <row r="52" spans="1:9" x14ac:dyDescent="0.3">
      <c r="A52" s="1" t="s">
        <v>336</v>
      </c>
      <c r="B52" s="1" t="s">
        <v>678</v>
      </c>
      <c r="C52" s="1" t="s">
        <v>8</v>
      </c>
      <c r="D52" s="8">
        <v>46000</v>
      </c>
      <c r="E52" s="8">
        <v>46012</v>
      </c>
      <c r="F52">
        <v>454</v>
      </c>
      <c r="G52">
        <v>83</v>
      </c>
      <c r="H52">
        <v>37682</v>
      </c>
      <c r="I52" s="1" t="s">
        <v>643</v>
      </c>
    </row>
    <row r="53" spans="1:9" x14ac:dyDescent="0.3">
      <c r="A53" s="1" t="s">
        <v>338</v>
      </c>
      <c r="B53" s="1" t="s">
        <v>678</v>
      </c>
      <c r="C53" s="1" t="s">
        <v>19</v>
      </c>
      <c r="D53" s="8">
        <v>45884</v>
      </c>
      <c r="E53" s="8">
        <v>45899</v>
      </c>
      <c r="F53">
        <v>229</v>
      </c>
      <c r="G53">
        <v>187</v>
      </c>
      <c r="H53">
        <v>42823</v>
      </c>
      <c r="I53" s="1" t="s">
        <v>649</v>
      </c>
    </row>
    <row r="54" spans="1:9" x14ac:dyDescent="0.3">
      <c r="A54" s="1" t="s">
        <v>340</v>
      </c>
      <c r="B54" s="1" t="s">
        <v>679</v>
      </c>
      <c r="C54" s="1" t="s">
        <v>30</v>
      </c>
      <c r="D54" s="8">
        <v>45924</v>
      </c>
      <c r="E54" s="8">
        <v>45939</v>
      </c>
      <c r="F54">
        <v>118</v>
      </c>
      <c r="G54">
        <v>235</v>
      </c>
      <c r="H54">
        <v>27730</v>
      </c>
      <c r="I54" s="1" t="s">
        <v>649</v>
      </c>
    </row>
    <row r="55" spans="1:9" x14ac:dyDescent="0.3">
      <c r="A55" s="1" t="s">
        <v>342</v>
      </c>
      <c r="B55" s="1" t="s">
        <v>642</v>
      </c>
      <c r="C55" s="1" t="s">
        <v>16</v>
      </c>
      <c r="D55" s="8">
        <v>46142</v>
      </c>
      <c r="E55" s="8">
        <v>46162</v>
      </c>
      <c r="F55">
        <v>174</v>
      </c>
      <c r="G55">
        <v>227</v>
      </c>
      <c r="H55">
        <v>39498</v>
      </c>
      <c r="I55" s="1" t="s">
        <v>643</v>
      </c>
    </row>
    <row r="56" spans="1:9" x14ac:dyDescent="0.3">
      <c r="A56" s="1" t="s">
        <v>344</v>
      </c>
      <c r="B56" s="1" t="s">
        <v>665</v>
      </c>
      <c r="C56" s="1" t="s">
        <v>33</v>
      </c>
      <c r="D56" s="8">
        <v>46191</v>
      </c>
      <c r="E56" s="8">
        <v>46204</v>
      </c>
      <c r="F56">
        <v>127</v>
      </c>
      <c r="G56">
        <v>240</v>
      </c>
      <c r="H56">
        <v>30480</v>
      </c>
      <c r="I56" s="1" t="s">
        <v>643</v>
      </c>
    </row>
    <row r="57" spans="1:9" x14ac:dyDescent="0.3">
      <c r="A57" s="1" t="s">
        <v>346</v>
      </c>
      <c r="B57" s="1" t="s">
        <v>680</v>
      </c>
      <c r="C57" s="1" t="s">
        <v>33</v>
      </c>
      <c r="D57" s="8">
        <v>46176</v>
      </c>
      <c r="E57" s="8">
        <v>46195</v>
      </c>
      <c r="F57">
        <v>365</v>
      </c>
      <c r="G57">
        <v>129</v>
      </c>
      <c r="H57">
        <v>47085</v>
      </c>
      <c r="I57" s="1" t="s">
        <v>649</v>
      </c>
    </row>
    <row r="58" spans="1:9" x14ac:dyDescent="0.3">
      <c r="A58" s="1" t="s">
        <v>348</v>
      </c>
      <c r="B58" s="1" t="s">
        <v>674</v>
      </c>
      <c r="C58" s="1" t="s">
        <v>8</v>
      </c>
      <c r="D58" s="8">
        <v>45919</v>
      </c>
      <c r="E58" s="8">
        <v>45931</v>
      </c>
      <c r="F58">
        <v>357</v>
      </c>
      <c r="G58">
        <v>63</v>
      </c>
      <c r="H58">
        <v>22491</v>
      </c>
      <c r="I58" s="1" t="s">
        <v>649</v>
      </c>
    </row>
    <row r="59" spans="1:9" x14ac:dyDescent="0.3">
      <c r="A59" s="1" t="s">
        <v>350</v>
      </c>
      <c r="B59" s="1" t="s">
        <v>666</v>
      </c>
      <c r="C59" s="1" t="s">
        <v>46</v>
      </c>
      <c r="D59" s="8">
        <v>45961</v>
      </c>
      <c r="E59" s="8">
        <v>45966</v>
      </c>
      <c r="F59">
        <v>337</v>
      </c>
      <c r="G59">
        <v>191</v>
      </c>
      <c r="H59">
        <v>64367</v>
      </c>
      <c r="I59" s="1" t="s">
        <v>649</v>
      </c>
    </row>
    <row r="60" spans="1:9" x14ac:dyDescent="0.3">
      <c r="A60" s="1" t="s">
        <v>352</v>
      </c>
      <c r="B60" s="1" t="s">
        <v>662</v>
      </c>
      <c r="C60" s="1" t="s">
        <v>30</v>
      </c>
      <c r="D60" s="8">
        <v>45972</v>
      </c>
      <c r="E60" s="8">
        <v>45981</v>
      </c>
      <c r="F60">
        <v>135</v>
      </c>
      <c r="G60">
        <v>432</v>
      </c>
      <c r="H60">
        <v>58320</v>
      </c>
      <c r="I60" s="1" t="s">
        <v>646</v>
      </c>
    </row>
    <row r="61" spans="1:9" x14ac:dyDescent="0.3">
      <c r="A61" s="1" t="s">
        <v>354</v>
      </c>
      <c r="B61" s="1" t="s">
        <v>670</v>
      </c>
      <c r="C61" s="1" t="s">
        <v>33</v>
      </c>
      <c r="D61" s="8">
        <v>46058</v>
      </c>
      <c r="E61" s="8">
        <v>46063</v>
      </c>
      <c r="F61">
        <v>145</v>
      </c>
      <c r="G61">
        <v>263</v>
      </c>
      <c r="H61">
        <v>38135</v>
      </c>
      <c r="I61" s="1" t="s">
        <v>643</v>
      </c>
    </row>
    <row r="62" spans="1:9" x14ac:dyDescent="0.3">
      <c r="A62" s="1" t="s">
        <v>356</v>
      </c>
      <c r="B62" s="1" t="s">
        <v>666</v>
      </c>
      <c r="C62" s="1" t="s">
        <v>33</v>
      </c>
      <c r="D62" s="8">
        <v>45982</v>
      </c>
      <c r="E62" s="8">
        <v>45997</v>
      </c>
      <c r="F62">
        <v>314</v>
      </c>
      <c r="G62">
        <v>119</v>
      </c>
      <c r="H62">
        <v>37366</v>
      </c>
      <c r="I62" s="1" t="s">
        <v>643</v>
      </c>
    </row>
    <row r="63" spans="1:9" x14ac:dyDescent="0.3">
      <c r="A63" s="1" t="s">
        <v>358</v>
      </c>
      <c r="B63" s="1" t="s">
        <v>681</v>
      </c>
      <c r="C63" s="1" t="s">
        <v>24</v>
      </c>
      <c r="D63" s="8">
        <v>45865</v>
      </c>
      <c r="E63" s="8">
        <v>45868</v>
      </c>
      <c r="F63">
        <v>95</v>
      </c>
      <c r="G63">
        <v>355</v>
      </c>
      <c r="H63">
        <v>33725</v>
      </c>
      <c r="I63" s="1" t="s">
        <v>643</v>
      </c>
    </row>
    <row r="64" spans="1:9" x14ac:dyDescent="0.3">
      <c r="A64" s="1" t="s">
        <v>360</v>
      </c>
      <c r="B64" s="1" t="s">
        <v>675</v>
      </c>
      <c r="C64" s="1" t="s">
        <v>33</v>
      </c>
      <c r="D64" s="8">
        <v>46150</v>
      </c>
      <c r="E64" s="8">
        <v>46169</v>
      </c>
      <c r="F64">
        <v>110</v>
      </c>
      <c r="G64">
        <v>431</v>
      </c>
      <c r="H64">
        <v>47410</v>
      </c>
      <c r="I64" s="1" t="s">
        <v>646</v>
      </c>
    </row>
    <row r="65" spans="1:9" x14ac:dyDescent="0.3">
      <c r="A65" s="1" t="s">
        <v>362</v>
      </c>
      <c r="B65" s="1" t="s">
        <v>663</v>
      </c>
      <c r="C65" s="1" t="s">
        <v>33</v>
      </c>
      <c r="D65" s="8">
        <v>46146</v>
      </c>
      <c r="E65" s="8">
        <v>46152</v>
      </c>
      <c r="F65">
        <v>147</v>
      </c>
      <c r="G65">
        <v>489</v>
      </c>
      <c r="H65">
        <v>71883</v>
      </c>
      <c r="I65" s="1" t="s">
        <v>646</v>
      </c>
    </row>
    <row r="66" spans="1:9" x14ac:dyDescent="0.3">
      <c r="A66" s="1" t="s">
        <v>364</v>
      </c>
      <c r="B66" s="1" t="s">
        <v>682</v>
      </c>
      <c r="C66" s="1" t="s">
        <v>14</v>
      </c>
      <c r="D66" s="8">
        <v>46150</v>
      </c>
      <c r="E66" s="8">
        <v>46170</v>
      </c>
      <c r="F66">
        <v>361</v>
      </c>
      <c r="G66">
        <v>291</v>
      </c>
      <c r="H66">
        <v>105051</v>
      </c>
      <c r="I66" s="1" t="s">
        <v>643</v>
      </c>
    </row>
    <row r="67" spans="1:9" x14ac:dyDescent="0.3">
      <c r="A67" s="1" t="s">
        <v>366</v>
      </c>
      <c r="B67" s="1" t="s">
        <v>651</v>
      </c>
      <c r="C67" s="1" t="s">
        <v>28</v>
      </c>
      <c r="D67" s="8">
        <v>46032</v>
      </c>
      <c r="E67" s="8">
        <v>46051</v>
      </c>
      <c r="F67">
        <v>476</v>
      </c>
      <c r="G67">
        <v>246</v>
      </c>
      <c r="H67">
        <v>117096</v>
      </c>
      <c r="I67" s="1" t="s">
        <v>649</v>
      </c>
    </row>
    <row r="68" spans="1:9" x14ac:dyDescent="0.3">
      <c r="A68" s="1" t="s">
        <v>368</v>
      </c>
      <c r="B68" s="1" t="s">
        <v>680</v>
      </c>
      <c r="C68" s="1" t="s">
        <v>33</v>
      </c>
      <c r="D68" s="8">
        <v>45857</v>
      </c>
      <c r="E68" s="8">
        <v>45875</v>
      </c>
      <c r="F68">
        <v>479</v>
      </c>
      <c r="G68">
        <v>101</v>
      </c>
      <c r="H68">
        <v>48379</v>
      </c>
      <c r="I68" s="1" t="s">
        <v>643</v>
      </c>
    </row>
    <row r="69" spans="1:9" x14ac:dyDescent="0.3">
      <c r="A69" s="1" t="s">
        <v>370</v>
      </c>
      <c r="B69" s="1" t="s">
        <v>651</v>
      </c>
      <c r="C69" s="1" t="s">
        <v>8</v>
      </c>
      <c r="D69" s="8">
        <v>45914</v>
      </c>
      <c r="E69" s="8">
        <v>45925</v>
      </c>
      <c r="F69">
        <v>146</v>
      </c>
      <c r="G69">
        <v>450</v>
      </c>
      <c r="H69">
        <v>65700</v>
      </c>
      <c r="I69" s="1" t="s">
        <v>643</v>
      </c>
    </row>
    <row r="70" spans="1:9" x14ac:dyDescent="0.3">
      <c r="A70" s="1" t="s">
        <v>372</v>
      </c>
      <c r="B70" s="1" t="s">
        <v>666</v>
      </c>
      <c r="C70" s="1" t="s">
        <v>24</v>
      </c>
      <c r="D70" s="8">
        <v>45861</v>
      </c>
      <c r="E70" s="8">
        <v>45878</v>
      </c>
      <c r="F70">
        <v>142</v>
      </c>
      <c r="G70">
        <v>160</v>
      </c>
      <c r="H70">
        <v>22720</v>
      </c>
      <c r="I70" s="1" t="s">
        <v>649</v>
      </c>
    </row>
    <row r="71" spans="1:9" x14ac:dyDescent="0.3">
      <c r="A71" s="1" t="s">
        <v>374</v>
      </c>
      <c r="B71" s="1" t="s">
        <v>665</v>
      </c>
      <c r="C71" s="1" t="s">
        <v>11</v>
      </c>
      <c r="D71" s="8">
        <v>46009</v>
      </c>
      <c r="E71" s="8">
        <v>46022</v>
      </c>
      <c r="F71">
        <v>140</v>
      </c>
      <c r="G71">
        <v>159</v>
      </c>
      <c r="H71">
        <v>22260</v>
      </c>
      <c r="I71" s="1" t="s">
        <v>649</v>
      </c>
    </row>
    <row r="72" spans="1:9" x14ac:dyDescent="0.3">
      <c r="A72" s="1" t="s">
        <v>376</v>
      </c>
      <c r="B72" s="1" t="s">
        <v>683</v>
      </c>
      <c r="C72" s="1" t="s">
        <v>28</v>
      </c>
      <c r="D72" s="8">
        <v>46184</v>
      </c>
      <c r="E72" s="8">
        <v>46194</v>
      </c>
      <c r="F72">
        <v>90</v>
      </c>
      <c r="G72">
        <v>97</v>
      </c>
      <c r="H72">
        <v>8730</v>
      </c>
      <c r="I72" s="1" t="s">
        <v>649</v>
      </c>
    </row>
    <row r="73" spans="1:9" x14ac:dyDescent="0.3">
      <c r="A73" s="1" t="s">
        <v>378</v>
      </c>
      <c r="B73" s="1" t="s">
        <v>684</v>
      </c>
      <c r="C73" s="1" t="s">
        <v>28</v>
      </c>
      <c r="D73" s="8">
        <v>45986</v>
      </c>
      <c r="E73" s="8">
        <v>45991</v>
      </c>
      <c r="F73">
        <v>381</v>
      </c>
      <c r="G73">
        <v>129</v>
      </c>
      <c r="H73">
        <v>49149</v>
      </c>
      <c r="I73" s="1" t="s">
        <v>643</v>
      </c>
    </row>
    <row r="74" spans="1:9" x14ac:dyDescent="0.3">
      <c r="A74" s="1" t="s">
        <v>380</v>
      </c>
      <c r="B74" s="1" t="s">
        <v>673</v>
      </c>
      <c r="C74" s="1" t="s">
        <v>16</v>
      </c>
      <c r="D74" s="8">
        <v>46085</v>
      </c>
      <c r="E74" s="8">
        <v>46101</v>
      </c>
      <c r="F74">
        <v>297</v>
      </c>
      <c r="G74">
        <v>258</v>
      </c>
      <c r="H74">
        <v>76626</v>
      </c>
      <c r="I74" s="1" t="s">
        <v>646</v>
      </c>
    </row>
    <row r="75" spans="1:9" x14ac:dyDescent="0.3">
      <c r="A75" s="1" t="s">
        <v>382</v>
      </c>
      <c r="B75" s="1" t="s">
        <v>645</v>
      </c>
      <c r="C75" s="1" t="s">
        <v>14</v>
      </c>
      <c r="D75" s="8">
        <v>46200</v>
      </c>
      <c r="E75" s="8">
        <v>46203</v>
      </c>
      <c r="F75">
        <v>219</v>
      </c>
      <c r="G75">
        <v>483</v>
      </c>
      <c r="H75">
        <v>105777</v>
      </c>
      <c r="I75" s="1" t="s">
        <v>643</v>
      </c>
    </row>
    <row r="76" spans="1:9" x14ac:dyDescent="0.3">
      <c r="A76" s="1" t="s">
        <v>384</v>
      </c>
      <c r="B76" s="1" t="s">
        <v>652</v>
      </c>
      <c r="C76" s="1" t="s">
        <v>28</v>
      </c>
      <c r="D76" s="8">
        <v>46190</v>
      </c>
      <c r="E76" s="8">
        <v>46202</v>
      </c>
      <c r="F76">
        <v>23</v>
      </c>
      <c r="G76">
        <v>200</v>
      </c>
      <c r="H76">
        <v>4600</v>
      </c>
      <c r="I76" s="1" t="s">
        <v>643</v>
      </c>
    </row>
    <row r="77" spans="1:9" x14ac:dyDescent="0.3">
      <c r="A77" s="1" t="s">
        <v>386</v>
      </c>
      <c r="B77" s="1" t="s">
        <v>655</v>
      </c>
      <c r="C77" s="1" t="s">
        <v>14</v>
      </c>
      <c r="D77" s="8">
        <v>46134</v>
      </c>
      <c r="E77" s="8">
        <v>46154</v>
      </c>
      <c r="F77">
        <v>402</v>
      </c>
      <c r="G77">
        <v>396</v>
      </c>
      <c r="H77">
        <v>159192</v>
      </c>
      <c r="I77" s="1" t="s">
        <v>646</v>
      </c>
    </row>
    <row r="78" spans="1:9" x14ac:dyDescent="0.3">
      <c r="A78" s="1" t="s">
        <v>388</v>
      </c>
      <c r="B78" s="1" t="s">
        <v>685</v>
      </c>
      <c r="C78" s="1" t="s">
        <v>33</v>
      </c>
      <c r="D78" s="8">
        <v>45925</v>
      </c>
      <c r="E78" s="8">
        <v>45941</v>
      </c>
      <c r="F78">
        <v>132</v>
      </c>
      <c r="G78">
        <v>159</v>
      </c>
      <c r="H78">
        <v>20988</v>
      </c>
      <c r="I78" s="1" t="s">
        <v>646</v>
      </c>
    </row>
    <row r="79" spans="1:9" x14ac:dyDescent="0.3">
      <c r="A79" s="1" t="s">
        <v>390</v>
      </c>
      <c r="B79" s="1" t="s">
        <v>653</v>
      </c>
      <c r="C79" s="1" t="s">
        <v>30</v>
      </c>
      <c r="D79" s="8">
        <v>46087</v>
      </c>
      <c r="E79" s="8">
        <v>46102</v>
      </c>
      <c r="F79">
        <v>192</v>
      </c>
      <c r="G79">
        <v>362</v>
      </c>
      <c r="H79">
        <v>69504</v>
      </c>
      <c r="I79" s="1" t="s">
        <v>643</v>
      </c>
    </row>
    <row r="80" spans="1:9" x14ac:dyDescent="0.3">
      <c r="A80" s="1" t="s">
        <v>392</v>
      </c>
      <c r="B80" s="1" t="s">
        <v>679</v>
      </c>
      <c r="C80" s="1" t="s">
        <v>28</v>
      </c>
      <c r="D80" s="8">
        <v>45987</v>
      </c>
      <c r="E80" s="8">
        <v>45990</v>
      </c>
      <c r="F80">
        <v>338</v>
      </c>
      <c r="G80">
        <v>293</v>
      </c>
      <c r="H80">
        <v>99034</v>
      </c>
      <c r="I80" s="1" t="s">
        <v>649</v>
      </c>
    </row>
    <row r="81" spans="1:9" x14ac:dyDescent="0.3">
      <c r="A81" s="1" t="s">
        <v>394</v>
      </c>
      <c r="B81" s="1" t="s">
        <v>642</v>
      </c>
      <c r="C81" s="1" t="s">
        <v>28</v>
      </c>
      <c r="D81" s="8">
        <v>45882</v>
      </c>
      <c r="E81" s="8">
        <v>45887</v>
      </c>
      <c r="F81">
        <v>359</v>
      </c>
      <c r="G81">
        <v>33</v>
      </c>
      <c r="H81">
        <v>11847</v>
      </c>
      <c r="I81" s="1" t="s">
        <v>646</v>
      </c>
    </row>
    <row r="82" spans="1:9" x14ac:dyDescent="0.3">
      <c r="A82" s="1" t="s">
        <v>396</v>
      </c>
      <c r="B82" s="1" t="s">
        <v>682</v>
      </c>
      <c r="C82" s="1" t="s">
        <v>28</v>
      </c>
      <c r="D82" s="8">
        <v>46028</v>
      </c>
      <c r="E82" s="8">
        <v>46039</v>
      </c>
      <c r="F82">
        <v>113</v>
      </c>
      <c r="G82">
        <v>45</v>
      </c>
      <c r="H82">
        <v>5085</v>
      </c>
      <c r="I82" s="1" t="s">
        <v>643</v>
      </c>
    </row>
    <row r="83" spans="1:9" x14ac:dyDescent="0.3">
      <c r="A83" s="1" t="s">
        <v>398</v>
      </c>
      <c r="B83" s="1" t="s">
        <v>659</v>
      </c>
      <c r="C83" s="1" t="s">
        <v>28</v>
      </c>
      <c r="D83" s="8">
        <v>46163</v>
      </c>
      <c r="E83" s="8">
        <v>46176</v>
      </c>
      <c r="F83">
        <v>252</v>
      </c>
      <c r="G83">
        <v>187</v>
      </c>
      <c r="H83">
        <v>47124</v>
      </c>
      <c r="I83" s="1" t="s">
        <v>643</v>
      </c>
    </row>
    <row r="84" spans="1:9" x14ac:dyDescent="0.3">
      <c r="A84" s="1" t="s">
        <v>400</v>
      </c>
      <c r="B84" s="1" t="s">
        <v>651</v>
      </c>
      <c r="C84" s="1" t="s">
        <v>24</v>
      </c>
      <c r="D84" s="8">
        <v>46148</v>
      </c>
      <c r="E84" s="8">
        <v>46159</v>
      </c>
      <c r="F84">
        <v>445</v>
      </c>
      <c r="G84">
        <v>235</v>
      </c>
      <c r="H84">
        <v>104575</v>
      </c>
      <c r="I84" s="1" t="s">
        <v>643</v>
      </c>
    </row>
    <row r="85" spans="1:9" x14ac:dyDescent="0.3">
      <c r="A85" s="1" t="s">
        <v>402</v>
      </c>
      <c r="B85" s="1" t="s">
        <v>686</v>
      </c>
      <c r="C85" s="1" t="s">
        <v>11</v>
      </c>
      <c r="D85" s="8">
        <v>46140</v>
      </c>
      <c r="E85" s="8">
        <v>46144</v>
      </c>
      <c r="F85">
        <v>403</v>
      </c>
      <c r="G85">
        <v>296</v>
      </c>
      <c r="H85">
        <v>119288</v>
      </c>
      <c r="I85" s="1" t="s">
        <v>646</v>
      </c>
    </row>
    <row r="86" spans="1:9" x14ac:dyDescent="0.3">
      <c r="A86" s="1" t="s">
        <v>404</v>
      </c>
      <c r="B86" s="1" t="s">
        <v>687</v>
      </c>
      <c r="C86" s="1" t="s">
        <v>16</v>
      </c>
      <c r="D86" s="8">
        <v>46065</v>
      </c>
      <c r="E86" s="8">
        <v>46069</v>
      </c>
      <c r="F86">
        <v>55</v>
      </c>
      <c r="G86">
        <v>419</v>
      </c>
      <c r="H86">
        <v>23045</v>
      </c>
      <c r="I86" s="1" t="s">
        <v>646</v>
      </c>
    </row>
    <row r="87" spans="1:9" x14ac:dyDescent="0.3">
      <c r="A87" s="1" t="s">
        <v>406</v>
      </c>
      <c r="B87" s="1" t="s">
        <v>644</v>
      </c>
      <c r="C87" s="1" t="s">
        <v>46</v>
      </c>
      <c r="D87" s="8">
        <v>46175</v>
      </c>
      <c r="E87" s="8">
        <v>46182</v>
      </c>
      <c r="F87">
        <v>449</v>
      </c>
      <c r="G87">
        <v>30</v>
      </c>
      <c r="H87">
        <v>13470</v>
      </c>
      <c r="I87" s="1" t="s">
        <v>646</v>
      </c>
    </row>
    <row r="88" spans="1:9" x14ac:dyDescent="0.3">
      <c r="A88" s="1" t="s">
        <v>408</v>
      </c>
      <c r="B88" s="1" t="s">
        <v>652</v>
      </c>
      <c r="C88" s="1" t="s">
        <v>33</v>
      </c>
      <c r="D88" s="8">
        <v>46055</v>
      </c>
      <c r="E88" s="8">
        <v>46064</v>
      </c>
      <c r="F88">
        <v>362</v>
      </c>
      <c r="G88">
        <v>78</v>
      </c>
      <c r="H88">
        <v>28236</v>
      </c>
      <c r="I88" s="1" t="s">
        <v>649</v>
      </c>
    </row>
    <row r="89" spans="1:9" x14ac:dyDescent="0.3">
      <c r="A89" s="1" t="s">
        <v>410</v>
      </c>
      <c r="B89" s="1" t="s">
        <v>660</v>
      </c>
      <c r="C89" s="1" t="s">
        <v>14</v>
      </c>
      <c r="D89" s="8">
        <v>45926</v>
      </c>
      <c r="E89" s="8">
        <v>45934</v>
      </c>
      <c r="F89">
        <v>412</v>
      </c>
      <c r="G89">
        <v>208</v>
      </c>
      <c r="H89">
        <v>85696</v>
      </c>
      <c r="I89" s="1" t="s">
        <v>649</v>
      </c>
    </row>
    <row r="90" spans="1:9" x14ac:dyDescent="0.3">
      <c r="A90" s="1" t="s">
        <v>412</v>
      </c>
      <c r="B90" s="1" t="s">
        <v>669</v>
      </c>
      <c r="C90" s="1" t="s">
        <v>19</v>
      </c>
      <c r="D90" s="8">
        <v>46059</v>
      </c>
      <c r="E90" s="8">
        <v>46067</v>
      </c>
      <c r="F90">
        <v>387</v>
      </c>
      <c r="G90">
        <v>78</v>
      </c>
      <c r="H90">
        <v>30186</v>
      </c>
      <c r="I90" s="1" t="s">
        <v>646</v>
      </c>
    </row>
    <row r="91" spans="1:9" x14ac:dyDescent="0.3">
      <c r="A91" s="1" t="s">
        <v>414</v>
      </c>
      <c r="B91" s="1" t="s">
        <v>656</v>
      </c>
      <c r="C91" s="1" t="s">
        <v>14</v>
      </c>
      <c r="D91" s="8">
        <v>45993</v>
      </c>
      <c r="E91" s="8">
        <v>46005</v>
      </c>
      <c r="F91">
        <v>33</v>
      </c>
      <c r="G91">
        <v>495</v>
      </c>
      <c r="H91">
        <v>16335</v>
      </c>
      <c r="I91" s="1" t="s">
        <v>649</v>
      </c>
    </row>
    <row r="92" spans="1:9" x14ac:dyDescent="0.3">
      <c r="A92" s="1" t="s">
        <v>416</v>
      </c>
      <c r="B92" s="1" t="s">
        <v>653</v>
      </c>
      <c r="C92" s="1" t="s">
        <v>24</v>
      </c>
      <c r="D92" s="8">
        <v>45853</v>
      </c>
      <c r="E92" s="8">
        <v>45862</v>
      </c>
      <c r="F92">
        <v>223</v>
      </c>
      <c r="G92">
        <v>386</v>
      </c>
      <c r="H92">
        <v>86078</v>
      </c>
      <c r="I92" s="1" t="s">
        <v>649</v>
      </c>
    </row>
    <row r="93" spans="1:9" x14ac:dyDescent="0.3">
      <c r="A93" s="1" t="s">
        <v>418</v>
      </c>
      <c r="B93" s="1" t="s">
        <v>688</v>
      </c>
      <c r="C93" s="1" t="s">
        <v>24</v>
      </c>
      <c r="D93" s="8">
        <v>46133</v>
      </c>
      <c r="E93" s="8">
        <v>46143</v>
      </c>
      <c r="F93">
        <v>445</v>
      </c>
      <c r="G93">
        <v>341</v>
      </c>
      <c r="H93">
        <v>151745</v>
      </c>
      <c r="I93" s="1" t="s">
        <v>649</v>
      </c>
    </row>
    <row r="94" spans="1:9" x14ac:dyDescent="0.3">
      <c r="A94" s="1" t="s">
        <v>420</v>
      </c>
      <c r="B94" s="1" t="s">
        <v>689</v>
      </c>
      <c r="C94" s="1" t="s">
        <v>14</v>
      </c>
      <c r="D94" s="8">
        <v>46048</v>
      </c>
      <c r="E94" s="8">
        <v>46054</v>
      </c>
      <c r="F94">
        <v>174</v>
      </c>
      <c r="G94">
        <v>455</v>
      </c>
      <c r="H94">
        <v>79170</v>
      </c>
      <c r="I94" s="1" t="s">
        <v>646</v>
      </c>
    </row>
    <row r="95" spans="1:9" x14ac:dyDescent="0.3">
      <c r="A95" s="1" t="s">
        <v>422</v>
      </c>
      <c r="B95" s="1" t="s">
        <v>690</v>
      </c>
      <c r="C95" s="1" t="s">
        <v>24</v>
      </c>
      <c r="D95" s="8">
        <v>46003</v>
      </c>
      <c r="E95" s="8">
        <v>46017</v>
      </c>
      <c r="F95">
        <v>292</v>
      </c>
      <c r="G95">
        <v>239</v>
      </c>
      <c r="H95">
        <v>69788</v>
      </c>
      <c r="I95" s="1" t="s">
        <v>649</v>
      </c>
    </row>
    <row r="96" spans="1:9" x14ac:dyDescent="0.3">
      <c r="A96" s="1" t="s">
        <v>424</v>
      </c>
      <c r="B96" s="1" t="s">
        <v>687</v>
      </c>
      <c r="C96" s="1" t="s">
        <v>33</v>
      </c>
      <c r="D96" s="8">
        <v>46042</v>
      </c>
      <c r="E96" s="8">
        <v>46058</v>
      </c>
      <c r="F96">
        <v>194</v>
      </c>
      <c r="G96">
        <v>26</v>
      </c>
      <c r="H96">
        <v>5044</v>
      </c>
      <c r="I96" s="1" t="s">
        <v>646</v>
      </c>
    </row>
    <row r="97" spans="1:9" x14ac:dyDescent="0.3">
      <c r="A97" s="1" t="s">
        <v>426</v>
      </c>
      <c r="B97" s="1" t="s">
        <v>654</v>
      </c>
      <c r="C97" s="1" t="s">
        <v>30</v>
      </c>
      <c r="D97" s="8">
        <v>45915</v>
      </c>
      <c r="E97" s="8">
        <v>45932</v>
      </c>
      <c r="F97">
        <v>205</v>
      </c>
      <c r="G97">
        <v>345</v>
      </c>
      <c r="H97">
        <v>70725</v>
      </c>
      <c r="I97" s="1" t="s">
        <v>643</v>
      </c>
    </row>
    <row r="98" spans="1:9" x14ac:dyDescent="0.3">
      <c r="A98" s="1" t="s">
        <v>428</v>
      </c>
      <c r="B98" s="1" t="s">
        <v>672</v>
      </c>
      <c r="C98" s="1" t="s">
        <v>14</v>
      </c>
      <c r="D98" s="8">
        <v>46174</v>
      </c>
      <c r="E98" s="8">
        <v>46185</v>
      </c>
      <c r="F98">
        <v>395</v>
      </c>
      <c r="G98">
        <v>287</v>
      </c>
      <c r="H98">
        <v>113365</v>
      </c>
      <c r="I98" s="1" t="s">
        <v>649</v>
      </c>
    </row>
    <row r="99" spans="1:9" x14ac:dyDescent="0.3">
      <c r="A99" s="1" t="s">
        <v>430</v>
      </c>
      <c r="B99" s="1" t="s">
        <v>689</v>
      </c>
      <c r="C99" s="1" t="s">
        <v>14</v>
      </c>
      <c r="D99" s="8">
        <v>46182</v>
      </c>
      <c r="E99" s="8">
        <v>46198</v>
      </c>
      <c r="F99">
        <v>267</v>
      </c>
      <c r="G99">
        <v>258</v>
      </c>
      <c r="H99">
        <v>68886</v>
      </c>
      <c r="I99" s="1" t="s">
        <v>643</v>
      </c>
    </row>
    <row r="100" spans="1:9" x14ac:dyDescent="0.3">
      <c r="A100" s="1" t="s">
        <v>432</v>
      </c>
      <c r="B100" s="1" t="s">
        <v>676</v>
      </c>
      <c r="C100" s="1" t="s">
        <v>19</v>
      </c>
      <c r="D100" s="8">
        <v>45878</v>
      </c>
      <c r="E100" s="8">
        <v>45883</v>
      </c>
      <c r="F100">
        <v>456</v>
      </c>
      <c r="G100">
        <v>145</v>
      </c>
      <c r="H100">
        <v>66120</v>
      </c>
      <c r="I100" s="1" t="s">
        <v>643</v>
      </c>
    </row>
    <row r="101" spans="1:9" x14ac:dyDescent="0.3">
      <c r="A101" s="1" t="s">
        <v>434</v>
      </c>
      <c r="B101" s="1" t="s">
        <v>681</v>
      </c>
      <c r="C101" s="1" t="s">
        <v>11</v>
      </c>
      <c r="D101" s="8">
        <v>46115</v>
      </c>
      <c r="E101" s="8">
        <v>46130</v>
      </c>
      <c r="F101">
        <v>404</v>
      </c>
      <c r="G101">
        <v>257</v>
      </c>
      <c r="H101">
        <v>103828</v>
      </c>
      <c r="I101" s="1" t="s">
        <v>646</v>
      </c>
    </row>
    <row r="102" spans="1:9" x14ac:dyDescent="0.3">
      <c r="A102" s="1" t="s">
        <v>436</v>
      </c>
      <c r="B102" s="1" t="s">
        <v>685</v>
      </c>
      <c r="C102" s="1" t="s">
        <v>33</v>
      </c>
      <c r="D102" s="8">
        <v>46170</v>
      </c>
      <c r="E102" s="8">
        <v>46178</v>
      </c>
      <c r="F102">
        <v>455</v>
      </c>
      <c r="G102">
        <v>186</v>
      </c>
      <c r="H102">
        <v>84630</v>
      </c>
      <c r="I102" s="1" t="s">
        <v>646</v>
      </c>
    </row>
    <row r="103" spans="1:9" x14ac:dyDescent="0.3">
      <c r="A103" s="1" t="s">
        <v>438</v>
      </c>
      <c r="B103" s="1" t="s">
        <v>690</v>
      </c>
      <c r="C103" s="1" t="s">
        <v>19</v>
      </c>
      <c r="D103" s="8">
        <v>46179</v>
      </c>
      <c r="E103" s="8">
        <v>46192</v>
      </c>
      <c r="F103">
        <v>428</v>
      </c>
      <c r="G103">
        <v>152</v>
      </c>
      <c r="H103">
        <v>65056</v>
      </c>
      <c r="I103" s="1" t="s">
        <v>649</v>
      </c>
    </row>
    <row r="104" spans="1:9" x14ac:dyDescent="0.3">
      <c r="A104" s="1" t="s">
        <v>440</v>
      </c>
      <c r="B104" s="1" t="s">
        <v>688</v>
      </c>
      <c r="C104" s="1" t="s">
        <v>16</v>
      </c>
      <c r="D104" s="8">
        <v>45911</v>
      </c>
      <c r="E104" s="8">
        <v>45931</v>
      </c>
      <c r="F104">
        <v>470</v>
      </c>
      <c r="G104">
        <v>161</v>
      </c>
      <c r="H104">
        <v>75670</v>
      </c>
      <c r="I104" s="1" t="s">
        <v>649</v>
      </c>
    </row>
    <row r="105" spans="1:9" x14ac:dyDescent="0.3">
      <c r="A105" s="1" t="s">
        <v>442</v>
      </c>
      <c r="B105" s="1" t="s">
        <v>644</v>
      </c>
      <c r="C105" s="1" t="s">
        <v>33</v>
      </c>
      <c r="D105" s="8">
        <v>46147</v>
      </c>
      <c r="E105" s="8">
        <v>46163</v>
      </c>
      <c r="F105">
        <v>63</v>
      </c>
      <c r="G105">
        <v>143</v>
      </c>
      <c r="H105">
        <v>9009</v>
      </c>
      <c r="I105" s="1" t="s">
        <v>649</v>
      </c>
    </row>
    <row r="106" spans="1:9" x14ac:dyDescent="0.3">
      <c r="A106" s="1" t="s">
        <v>444</v>
      </c>
      <c r="B106" s="1" t="s">
        <v>651</v>
      </c>
      <c r="C106" s="1" t="s">
        <v>33</v>
      </c>
      <c r="D106" s="8">
        <v>45847</v>
      </c>
      <c r="E106" s="8">
        <v>45865</v>
      </c>
      <c r="F106">
        <v>143</v>
      </c>
      <c r="G106">
        <v>373</v>
      </c>
      <c r="H106">
        <v>53339</v>
      </c>
      <c r="I106" s="1" t="s">
        <v>643</v>
      </c>
    </row>
    <row r="107" spans="1:9" x14ac:dyDescent="0.3">
      <c r="A107" s="1" t="s">
        <v>446</v>
      </c>
      <c r="B107" s="1" t="s">
        <v>686</v>
      </c>
      <c r="C107" s="1" t="s">
        <v>28</v>
      </c>
      <c r="D107" s="8">
        <v>46063</v>
      </c>
      <c r="E107" s="8">
        <v>46073</v>
      </c>
      <c r="F107">
        <v>67</v>
      </c>
      <c r="G107">
        <v>170</v>
      </c>
      <c r="H107">
        <v>11390</v>
      </c>
      <c r="I107" s="1" t="s">
        <v>649</v>
      </c>
    </row>
    <row r="108" spans="1:9" x14ac:dyDescent="0.3">
      <c r="A108" s="1" t="s">
        <v>448</v>
      </c>
      <c r="B108" s="1" t="s">
        <v>681</v>
      </c>
      <c r="C108" s="1" t="s">
        <v>33</v>
      </c>
      <c r="D108" s="8">
        <v>45967</v>
      </c>
      <c r="E108" s="8">
        <v>45981</v>
      </c>
      <c r="F108">
        <v>176</v>
      </c>
      <c r="G108">
        <v>359</v>
      </c>
      <c r="H108">
        <v>63184</v>
      </c>
      <c r="I108" s="1" t="s">
        <v>649</v>
      </c>
    </row>
    <row r="109" spans="1:9" x14ac:dyDescent="0.3">
      <c r="A109" s="1" t="s">
        <v>450</v>
      </c>
      <c r="B109" s="1" t="s">
        <v>677</v>
      </c>
      <c r="C109" s="1" t="s">
        <v>11</v>
      </c>
      <c r="D109" s="8">
        <v>46174</v>
      </c>
      <c r="E109" s="8">
        <v>46194</v>
      </c>
      <c r="F109">
        <v>196</v>
      </c>
      <c r="G109">
        <v>237</v>
      </c>
      <c r="H109">
        <v>46452</v>
      </c>
      <c r="I109" s="1" t="s">
        <v>643</v>
      </c>
    </row>
    <row r="110" spans="1:9" x14ac:dyDescent="0.3">
      <c r="A110" s="1" t="s">
        <v>452</v>
      </c>
      <c r="B110" s="1" t="s">
        <v>688</v>
      </c>
      <c r="C110" s="1" t="s">
        <v>19</v>
      </c>
      <c r="D110" s="8">
        <v>45902</v>
      </c>
      <c r="E110" s="8">
        <v>45914</v>
      </c>
      <c r="F110">
        <v>252</v>
      </c>
      <c r="G110">
        <v>158</v>
      </c>
      <c r="H110">
        <v>39816</v>
      </c>
      <c r="I110" s="1" t="s">
        <v>646</v>
      </c>
    </row>
    <row r="111" spans="1:9" x14ac:dyDescent="0.3">
      <c r="A111" s="1" t="s">
        <v>454</v>
      </c>
      <c r="B111" s="1" t="s">
        <v>664</v>
      </c>
      <c r="C111" s="1" t="s">
        <v>24</v>
      </c>
      <c r="D111" s="8">
        <v>46024</v>
      </c>
      <c r="E111" s="8">
        <v>46037</v>
      </c>
      <c r="F111">
        <v>389</v>
      </c>
      <c r="G111">
        <v>118</v>
      </c>
      <c r="H111">
        <v>45902</v>
      </c>
      <c r="I111" s="1" t="s">
        <v>649</v>
      </c>
    </row>
    <row r="112" spans="1:9" x14ac:dyDescent="0.3">
      <c r="A112" s="1" t="s">
        <v>456</v>
      </c>
      <c r="B112" s="1" t="s">
        <v>655</v>
      </c>
      <c r="C112" s="1" t="s">
        <v>46</v>
      </c>
      <c r="D112" s="8">
        <v>46076</v>
      </c>
      <c r="E112" s="8">
        <v>46084</v>
      </c>
      <c r="F112">
        <v>410</v>
      </c>
      <c r="G112">
        <v>373</v>
      </c>
      <c r="H112">
        <v>152930</v>
      </c>
      <c r="I112" s="1" t="s">
        <v>646</v>
      </c>
    </row>
    <row r="113" spans="1:9" x14ac:dyDescent="0.3">
      <c r="A113" s="1" t="s">
        <v>458</v>
      </c>
      <c r="B113" s="1" t="s">
        <v>669</v>
      </c>
      <c r="C113" s="1" t="s">
        <v>14</v>
      </c>
      <c r="D113" s="8">
        <v>46054</v>
      </c>
      <c r="E113" s="8">
        <v>46073</v>
      </c>
      <c r="F113">
        <v>267</v>
      </c>
      <c r="G113">
        <v>161</v>
      </c>
      <c r="H113">
        <v>42987</v>
      </c>
      <c r="I113" s="1" t="s">
        <v>643</v>
      </c>
    </row>
    <row r="114" spans="1:9" x14ac:dyDescent="0.3">
      <c r="A114" s="1" t="s">
        <v>460</v>
      </c>
      <c r="B114" s="1" t="s">
        <v>650</v>
      </c>
      <c r="C114" s="1" t="s">
        <v>46</v>
      </c>
      <c r="D114" s="8">
        <v>45839</v>
      </c>
      <c r="E114" s="8">
        <v>45851</v>
      </c>
      <c r="F114">
        <v>446</v>
      </c>
      <c r="G114">
        <v>119</v>
      </c>
      <c r="H114">
        <v>53074</v>
      </c>
      <c r="I114" s="1" t="s">
        <v>643</v>
      </c>
    </row>
    <row r="115" spans="1:9" x14ac:dyDescent="0.3">
      <c r="A115" s="1" t="s">
        <v>462</v>
      </c>
      <c r="B115" s="1" t="s">
        <v>672</v>
      </c>
      <c r="C115" s="1" t="s">
        <v>30</v>
      </c>
      <c r="D115" s="8">
        <v>45863</v>
      </c>
      <c r="E115" s="8">
        <v>45883</v>
      </c>
      <c r="F115">
        <v>174</v>
      </c>
      <c r="G115">
        <v>27</v>
      </c>
      <c r="H115">
        <v>4698</v>
      </c>
      <c r="I115" s="1" t="s">
        <v>643</v>
      </c>
    </row>
    <row r="116" spans="1:9" x14ac:dyDescent="0.3">
      <c r="A116" s="1" t="s">
        <v>464</v>
      </c>
      <c r="B116" s="1" t="s">
        <v>670</v>
      </c>
      <c r="C116" s="1" t="s">
        <v>30</v>
      </c>
      <c r="D116" s="8">
        <v>46141</v>
      </c>
      <c r="E116" s="8">
        <v>46153</v>
      </c>
      <c r="F116">
        <v>47</v>
      </c>
      <c r="G116">
        <v>303</v>
      </c>
      <c r="H116">
        <v>14241</v>
      </c>
      <c r="I116" s="1" t="s">
        <v>649</v>
      </c>
    </row>
    <row r="117" spans="1:9" x14ac:dyDescent="0.3">
      <c r="A117" s="1" t="s">
        <v>466</v>
      </c>
      <c r="B117" s="1" t="s">
        <v>651</v>
      </c>
      <c r="C117" s="1" t="s">
        <v>14</v>
      </c>
      <c r="D117" s="8">
        <v>46075</v>
      </c>
      <c r="E117" s="8">
        <v>46078</v>
      </c>
      <c r="F117">
        <v>271</v>
      </c>
      <c r="G117">
        <v>72</v>
      </c>
      <c r="H117">
        <v>19512</v>
      </c>
      <c r="I117" s="1" t="s">
        <v>643</v>
      </c>
    </row>
    <row r="118" spans="1:9" x14ac:dyDescent="0.3">
      <c r="A118" s="1" t="s">
        <v>468</v>
      </c>
      <c r="B118" s="1" t="s">
        <v>652</v>
      </c>
      <c r="C118" s="1" t="s">
        <v>30</v>
      </c>
      <c r="D118" s="8">
        <v>45864</v>
      </c>
      <c r="E118" s="8">
        <v>45877</v>
      </c>
      <c r="F118">
        <v>265</v>
      </c>
      <c r="G118">
        <v>245</v>
      </c>
      <c r="H118">
        <v>64925</v>
      </c>
      <c r="I118" s="1" t="s">
        <v>646</v>
      </c>
    </row>
    <row r="119" spans="1:9" x14ac:dyDescent="0.3">
      <c r="A119" s="1" t="s">
        <v>470</v>
      </c>
      <c r="B119" s="1" t="s">
        <v>660</v>
      </c>
      <c r="C119" s="1" t="s">
        <v>24</v>
      </c>
      <c r="D119" s="8">
        <v>46163</v>
      </c>
      <c r="E119" s="8">
        <v>46169</v>
      </c>
      <c r="F119">
        <v>461</v>
      </c>
      <c r="G119">
        <v>264</v>
      </c>
      <c r="H119">
        <v>121704</v>
      </c>
      <c r="I119" s="1" t="s">
        <v>643</v>
      </c>
    </row>
    <row r="120" spans="1:9" x14ac:dyDescent="0.3">
      <c r="A120" s="1" t="s">
        <v>472</v>
      </c>
      <c r="B120" s="1" t="s">
        <v>685</v>
      </c>
      <c r="C120" s="1" t="s">
        <v>30</v>
      </c>
      <c r="D120" s="8">
        <v>45850</v>
      </c>
      <c r="E120" s="8">
        <v>45854</v>
      </c>
      <c r="F120">
        <v>57</v>
      </c>
      <c r="G120">
        <v>315</v>
      </c>
      <c r="H120">
        <v>17955</v>
      </c>
      <c r="I120" s="1" t="s">
        <v>646</v>
      </c>
    </row>
    <row r="121" spans="1:9" x14ac:dyDescent="0.3">
      <c r="A121" s="1" t="s">
        <v>474</v>
      </c>
      <c r="B121" s="1" t="s">
        <v>642</v>
      </c>
      <c r="C121" s="1" t="s">
        <v>24</v>
      </c>
      <c r="D121" s="8">
        <v>46127</v>
      </c>
      <c r="E121" s="8">
        <v>46137</v>
      </c>
      <c r="F121">
        <v>175</v>
      </c>
      <c r="G121">
        <v>63</v>
      </c>
      <c r="H121">
        <v>11025</v>
      </c>
      <c r="I121" s="1" t="s">
        <v>649</v>
      </c>
    </row>
    <row r="122" spans="1:9" x14ac:dyDescent="0.3">
      <c r="A122" s="1" t="s">
        <v>476</v>
      </c>
      <c r="B122" s="1" t="s">
        <v>651</v>
      </c>
      <c r="C122" s="1" t="s">
        <v>8</v>
      </c>
      <c r="D122" s="8">
        <v>45958</v>
      </c>
      <c r="E122" s="8">
        <v>45968</v>
      </c>
      <c r="F122">
        <v>233</v>
      </c>
      <c r="G122">
        <v>330</v>
      </c>
      <c r="H122">
        <v>76890</v>
      </c>
      <c r="I122" s="1" t="s">
        <v>643</v>
      </c>
    </row>
    <row r="123" spans="1:9" x14ac:dyDescent="0.3">
      <c r="A123" s="1" t="s">
        <v>478</v>
      </c>
      <c r="B123" s="1" t="s">
        <v>680</v>
      </c>
      <c r="C123" s="1" t="s">
        <v>14</v>
      </c>
      <c r="D123" s="8">
        <v>45935</v>
      </c>
      <c r="E123" s="8">
        <v>45947</v>
      </c>
      <c r="F123">
        <v>485</v>
      </c>
      <c r="G123">
        <v>246</v>
      </c>
      <c r="H123">
        <v>119310</v>
      </c>
      <c r="I123" s="1" t="s">
        <v>643</v>
      </c>
    </row>
    <row r="124" spans="1:9" x14ac:dyDescent="0.3">
      <c r="A124" s="1" t="s">
        <v>480</v>
      </c>
      <c r="B124" s="1" t="s">
        <v>662</v>
      </c>
      <c r="C124" s="1" t="s">
        <v>14</v>
      </c>
      <c r="D124" s="8">
        <v>45871</v>
      </c>
      <c r="E124" s="8">
        <v>45875</v>
      </c>
      <c r="F124">
        <v>311</v>
      </c>
      <c r="G124">
        <v>337</v>
      </c>
      <c r="H124">
        <v>104807</v>
      </c>
      <c r="I124" s="1" t="s">
        <v>649</v>
      </c>
    </row>
    <row r="125" spans="1:9" x14ac:dyDescent="0.3">
      <c r="A125" s="1" t="s">
        <v>482</v>
      </c>
      <c r="B125" s="1" t="s">
        <v>650</v>
      </c>
      <c r="C125" s="1" t="s">
        <v>19</v>
      </c>
      <c r="D125" s="8">
        <v>46171</v>
      </c>
      <c r="E125" s="8">
        <v>46180</v>
      </c>
      <c r="F125">
        <v>410</v>
      </c>
      <c r="G125">
        <v>126</v>
      </c>
      <c r="H125">
        <v>51660</v>
      </c>
      <c r="I125" s="1" t="s">
        <v>649</v>
      </c>
    </row>
    <row r="126" spans="1:9" x14ac:dyDescent="0.3">
      <c r="A126" s="1" t="s">
        <v>484</v>
      </c>
      <c r="B126" s="1" t="s">
        <v>683</v>
      </c>
      <c r="C126" s="1" t="s">
        <v>8</v>
      </c>
      <c r="D126" s="8">
        <v>46125</v>
      </c>
      <c r="E126" s="8">
        <v>46133</v>
      </c>
      <c r="F126">
        <v>100</v>
      </c>
      <c r="G126">
        <v>142</v>
      </c>
      <c r="H126">
        <v>14200</v>
      </c>
      <c r="I126" s="1" t="s">
        <v>646</v>
      </c>
    </row>
    <row r="127" spans="1:9" x14ac:dyDescent="0.3">
      <c r="A127" s="1" t="s">
        <v>486</v>
      </c>
      <c r="B127" s="1" t="s">
        <v>674</v>
      </c>
      <c r="C127" s="1" t="s">
        <v>14</v>
      </c>
      <c r="D127" s="8">
        <v>45913</v>
      </c>
      <c r="E127" s="8">
        <v>45930</v>
      </c>
      <c r="F127">
        <v>21</v>
      </c>
      <c r="G127">
        <v>229</v>
      </c>
      <c r="H127">
        <v>4809</v>
      </c>
      <c r="I127" s="1" t="s">
        <v>643</v>
      </c>
    </row>
    <row r="128" spans="1:9" x14ac:dyDescent="0.3">
      <c r="A128" s="1" t="s">
        <v>488</v>
      </c>
      <c r="B128" s="1" t="s">
        <v>665</v>
      </c>
      <c r="C128" s="1" t="s">
        <v>19</v>
      </c>
      <c r="D128" s="8">
        <v>45864</v>
      </c>
      <c r="E128" s="8">
        <v>45876</v>
      </c>
      <c r="F128">
        <v>36</v>
      </c>
      <c r="G128">
        <v>138</v>
      </c>
      <c r="H128">
        <v>4968</v>
      </c>
      <c r="I128" s="1" t="s">
        <v>649</v>
      </c>
    </row>
    <row r="129" spans="1:9" x14ac:dyDescent="0.3">
      <c r="A129" s="1" t="s">
        <v>490</v>
      </c>
      <c r="B129" s="1" t="s">
        <v>682</v>
      </c>
      <c r="C129" s="1" t="s">
        <v>19</v>
      </c>
      <c r="D129" s="8">
        <v>46141</v>
      </c>
      <c r="E129" s="8">
        <v>46151</v>
      </c>
      <c r="F129">
        <v>56</v>
      </c>
      <c r="G129">
        <v>371</v>
      </c>
      <c r="H129">
        <v>20776</v>
      </c>
      <c r="I129" s="1" t="s">
        <v>649</v>
      </c>
    </row>
    <row r="130" spans="1:9" x14ac:dyDescent="0.3">
      <c r="A130" s="1" t="s">
        <v>492</v>
      </c>
      <c r="B130" s="1" t="s">
        <v>656</v>
      </c>
      <c r="C130" s="1" t="s">
        <v>28</v>
      </c>
      <c r="D130" s="8">
        <v>45983</v>
      </c>
      <c r="E130" s="8">
        <v>45992</v>
      </c>
      <c r="F130">
        <v>358</v>
      </c>
      <c r="G130">
        <v>431</v>
      </c>
      <c r="H130">
        <v>154298</v>
      </c>
      <c r="I130" s="1" t="s">
        <v>646</v>
      </c>
    </row>
    <row r="131" spans="1:9" x14ac:dyDescent="0.3">
      <c r="A131" s="1" t="s">
        <v>494</v>
      </c>
      <c r="B131" s="1" t="s">
        <v>655</v>
      </c>
      <c r="C131" s="1" t="s">
        <v>19</v>
      </c>
      <c r="D131" s="8">
        <v>46144</v>
      </c>
      <c r="E131" s="8">
        <v>46151</v>
      </c>
      <c r="F131">
        <v>135</v>
      </c>
      <c r="G131">
        <v>351</v>
      </c>
      <c r="H131">
        <v>47385</v>
      </c>
      <c r="I131" s="1" t="s">
        <v>646</v>
      </c>
    </row>
    <row r="132" spans="1:9" x14ac:dyDescent="0.3">
      <c r="A132" s="1" t="s">
        <v>496</v>
      </c>
      <c r="B132" s="1" t="s">
        <v>658</v>
      </c>
      <c r="C132" s="1" t="s">
        <v>14</v>
      </c>
      <c r="D132" s="8">
        <v>45891</v>
      </c>
      <c r="E132" s="8">
        <v>45903</v>
      </c>
      <c r="F132">
        <v>50</v>
      </c>
      <c r="G132">
        <v>104</v>
      </c>
      <c r="H132">
        <v>5200</v>
      </c>
      <c r="I132" s="1" t="s">
        <v>649</v>
      </c>
    </row>
    <row r="133" spans="1:9" x14ac:dyDescent="0.3">
      <c r="A133" s="1" t="s">
        <v>498</v>
      </c>
      <c r="B133" s="1" t="s">
        <v>642</v>
      </c>
      <c r="C133" s="1" t="s">
        <v>24</v>
      </c>
      <c r="D133" s="8">
        <v>45950</v>
      </c>
      <c r="E133" s="8">
        <v>45967</v>
      </c>
      <c r="F133">
        <v>491</v>
      </c>
      <c r="G133">
        <v>167</v>
      </c>
      <c r="H133">
        <v>81997</v>
      </c>
      <c r="I133" s="1" t="s">
        <v>643</v>
      </c>
    </row>
    <row r="134" spans="1:9" x14ac:dyDescent="0.3">
      <c r="A134" s="1" t="s">
        <v>500</v>
      </c>
      <c r="B134" s="1" t="s">
        <v>688</v>
      </c>
      <c r="C134" s="1" t="s">
        <v>19</v>
      </c>
      <c r="D134" s="8">
        <v>46170</v>
      </c>
      <c r="E134" s="8">
        <v>46185</v>
      </c>
      <c r="F134">
        <v>175</v>
      </c>
      <c r="G134">
        <v>378</v>
      </c>
      <c r="H134">
        <v>66150</v>
      </c>
      <c r="I134" s="1" t="s">
        <v>649</v>
      </c>
    </row>
    <row r="135" spans="1:9" x14ac:dyDescent="0.3">
      <c r="A135" s="1" t="s">
        <v>502</v>
      </c>
      <c r="B135" s="1" t="s">
        <v>655</v>
      </c>
      <c r="C135" s="1" t="s">
        <v>14</v>
      </c>
      <c r="D135" s="8">
        <v>45868</v>
      </c>
      <c r="E135" s="8">
        <v>45873</v>
      </c>
      <c r="F135">
        <v>272</v>
      </c>
      <c r="G135">
        <v>244</v>
      </c>
      <c r="H135">
        <v>66368</v>
      </c>
      <c r="I135" s="1" t="s">
        <v>646</v>
      </c>
    </row>
    <row r="136" spans="1:9" x14ac:dyDescent="0.3">
      <c r="A136" s="1" t="s">
        <v>504</v>
      </c>
      <c r="B136" s="1" t="s">
        <v>654</v>
      </c>
      <c r="C136" s="1" t="s">
        <v>16</v>
      </c>
      <c r="D136" s="8">
        <v>46024</v>
      </c>
      <c r="E136" s="8">
        <v>46035</v>
      </c>
      <c r="F136">
        <v>396</v>
      </c>
      <c r="G136">
        <v>185</v>
      </c>
      <c r="H136">
        <v>73260</v>
      </c>
      <c r="I136" s="1" t="s">
        <v>646</v>
      </c>
    </row>
    <row r="137" spans="1:9" x14ac:dyDescent="0.3">
      <c r="A137" s="1" t="s">
        <v>506</v>
      </c>
      <c r="B137" s="1" t="s">
        <v>675</v>
      </c>
      <c r="C137" s="1" t="s">
        <v>19</v>
      </c>
      <c r="D137" s="8">
        <v>46045</v>
      </c>
      <c r="E137" s="8">
        <v>46048</v>
      </c>
      <c r="F137">
        <v>365</v>
      </c>
      <c r="G137">
        <v>448</v>
      </c>
      <c r="H137">
        <v>163520</v>
      </c>
      <c r="I137" s="1" t="s">
        <v>649</v>
      </c>
    </row>
    <row r="138" spans="1:9" x14ac:dyDescent="0.3">
      <c r="A138" s="1" t="s">
        <v>508</v>
      </c>
      <c r="B138" s="1" t="s">
        <v>670</v>
      </c>
      <c r="C138" s="1" t="s">
        <v>33</v>
      </c>
      <c r="D138" s="8">
        <v>45858</v>
      </c>
      <c r="E138" s="8">
        <v>45866</v>
      </c>
      <c r="F138">
        <v>410</v>
      </c>
      <c r="G138">
        <v>407</v>
      </c>
      <c r="H138">
        <v>166870</v>
      </c>
      <c r="I138" s="1" t="s">
        <v>649</v>
      </c>
    </row>
    <row r="139" spans="1:9" x14ac:dyDescent="0.3">
      <c r="A139" s="1" t="s">
        <v>510</v>
      </c>
      <c r="B139" s="1" t="s">
        <v>687</v>
      </c>
      <c r="C139" s="1" t="s">
        <v>30</v>
      </c>
      <c r="D139" s="8">
        <v>46190</v>
      </c>
      <c r="E139" s="8">
        <v>46201</v>
      </c>
      <c r="F139">
        <v>246</v>
      </c>
      <c r="G139">
        <v>489</v>
      </c>
      <c r="H139">
        <v>120294</v>
      </c>
      <c r="I139" s="1" t="s">
        <v>649</v>
      </c>
    </row>
    <row r="140" spans="1:9" x14ac:dyDescent="0.3">
      <c r="A140" s="1" t="s">
        <v>512</v>
      </c>
      <c r="B140" s="1" t="s">
        <v>654</v>
      </c>
      <c r="C140" s="1" t="s">
        <v>24</v>
      </c>
      <c r="D140" s="8">
        <v>45964</v>
      </c>
      <c r="E140" s="8">
        <v>45982</v>
      </c>
      <c r="F140">
        <v>345</v>
      </c>
      <c r="G140">
        <v>436</v>
      </c>
      <c r="H140">
        <v>150420</v>
      </c>
      <c r="I140" s="1" t="s">
        <v>643</v>
      </c>
    </row>
    <row r="141" spans="1:9" x14ac:dyDescent="0.3">
      <c r="A141" s="1" t="s">
        <v>514</v>
      </c>
      <c r="B141" s="1" t="s">
        <v>690</v>
      </c>
      <c r="C141" s="1" t="s">
        <v>24</v>
      </c>
      <c r="D141" s="8">
        <v>46198</v>
      </c>
      <c r="E141" s="8">
        <v>46211</v>
      </c>
      <c r="F141">
        <v>229</v>
      </c>
      <c r="G141">
        <v>190</v>
      </c>
      <c r="H141">
        <v>43510</v>
      </c>
      <c r="I141" s="1" t="s">
        <v>646</v>
      </c>
    </row>
    <row r="142" spans="1:9" x14ac:dyDescent="0.3">
      <c r="A142" s="1" t="s">
        <v>516</v>
      </c>
      <c r="B142" s="1" t="s">
        <v>673</v>
      </c>
      <c r="C142" s="1" t="s">
        <v>19</v>
      </c>
      <c r="D142" s="8">
        <v>46085</v>
      </c>
      <c r="E142" s="8">
        <v>46103</v>
      </c>
      <c r="F142">
        <v>230</v>
      </c>
      <c r="G142">
        <v>375</v>
      </c>
      <c r="H142">
        <v>86250</v>
      </c>
      <c r="I142" s="1" t="s">
        <v>649</v>
      </c>
    </row>
    <row r="143" spans="1:9" x14ac:dyDescent="0.3">
      <c r="A143" s="1" t="s">
        <v>518</v>
      </c>
      <c r="B143" s="1" t="s">
        <v>647</v>
      </c>
      <c r="C143" s="1" t="s">
        <v>16</v>
      </c>
      <c r="D143" s="8">
        <v>46025</v>
      </c>
      <c r="E143" s="8">
        <v>46045</v>
      </c>
      <c r="F143">
        <v>436</v>
      </c>
      <c r="G143">
        <v>409</v>
      </c>
      <c r="H143">
        <v>178324</v>
      </c>
      <c r="I143" s="1" t="s">
        <v>643</v>
      </c>
    </row>
    <row r="144" spans="1:9" x14ac:dyDescent="0.3">
      <c r="A144" s="1" t="s">
        <v>520</v>
      </c>
      <c r="B144" s="1" t="s">
        <v>683</v>
      </c>
      <c r="C144" s="1" t="s">
        <v>24</v>
      </c>
      <c r="D144" s="8">
        <v>46197</v>
      </c>
      <c r="E144" s="8">
        <v>46210</v>
      </c>
      <c r="F144">
        <v>181</v>
      </c>
      <c r="G144">
        <v>149</v>
      </c>
      <c r="H144">
        <v>26969</v>
      </c>
      <c r="I144" s="1" t="s">
        <v>643</v>
      </c>
    </row>
    <row r="145" spans="1:9" x14ac:dyDescent="0.3">
      <c r="A145" s="1" t="s">
        <v>522</v>
      </c>
      <c r="B145" s="1" t="s">
        <v>657</v>
      </c>
      <c r="C145" s="1" t="s">
        <v>33</v>
      </c>
      <c r="D145" s="8">
        <v>46198</v>
      </c>
      <c r="E145" s="8">
        <v>46218</v>
      </c>
      <c r="F145">
        <v>442</v>
      </c>
      <c r="G145">
        <v>20</v>
      </c>
      <c r="H145">
        <v>8840</v>
      </c>
      <c r="I145" s="1" t="s">
        <v>643</v>
      </c>
    </row>
    <row r="146" spans="1:9" x14ac:dyDescent="0.3">
      <c r="A146" s="1" t="s">
        <v>524</v>
      </c>
      <c r="B146" s="1" t="s">
        <v>667</v>
      </c>
      <c r="C146" s="1" t="s">
        <v>14</v>
      </c>
      <c r="D146" s="8">
        <v>45989</v>
      </c>
      <c r="E146" s="8">
        <v>46003</v>
      </c>
      <c r="F146">
        <v>116</v>
      </c>
      <c r="G146">
        <v>285</v>
      </c>
      <c r="H146">
        <v>33060</v>
      </c>
      <c r="I146" s="1" t="s">
        <v>643</v>
      </c>
    </row>
    <row r="147" spans="1:9" x14ac:dyDescent="0.3">
      <c r="A147" s="1" t="s">
        <v>526</v>
      </c>
      <c r="B147" s="1" t="s">
        <v>666</v>
      </c>
      <c r="C147" s="1" t="s">
        <v>46</v>
      </c>
      <c r="D147" s="8">
        <v>45983</v>
      </c>
      <c r="E147" s="8">
        <v>45987</v>
      </c>
      <c r="F147">
        <v>246</v>
      </c>
      <c r="G147">
        <v>409</v>
      </c>
      <c r="H147">
        <v>100614</v>
      </c>
      <c r="I147" s="1" t="s">
        <v>643</v>
      </c>
    </row>
    <row r="148" spans="1:9" x14ac:dyDescent="0.3">
      <c r="A148" s="1" t="s">
        <v>528</v>
      </c>
      <c r="B148" s="1" t="s">
        <v>663</v>
      </c>
      <c r="C148" s="1" t="s">
        <v>33</v>
      </c>
      <c r="D148" s="8">
        <v>45843</v>
      </c>
      <c r="E148" s="8">
        <v>45855</v>
      </c>
      <c r="F148">
        <v>87</v>
      </c>
      <c r="G148">
        <v>494</v>
      </c>
      <c r="H148">
        <v>42978</v>
      </c>
      <c r="I148" s="1" t="s">
        <v>649</v>
      </c>
    </row>
    <row r="149" spans="1:9" x14ac:dyDescent="0.3">
      <c r="A149" s="1" t="s">
        <v>530</v>
      </c>
      <c r="B149" s="1" t="s">
        <v>685</v>
      </c>
      <c r="C149" s="1" t="s">
        <v>30</v>
      </c>
      <c r="D149" s="8">
        <v>46172</v>
      </c>
      <c r="E149" s="8">
        <v>46182</v>
      </c>
      <c r="F149">
        <v>82</v>
      </c>
      <c r="G149">
        <v>34</v>
      </c>
      <c r="H149">
        <v>2788</v>
      </c>
      <c r="I149" s="1" t="s">
        <v>643</v>
      </c>
    </row>
    <row r="150" spans="1:9" x14ac:dyDescent="0.3">
      <c r="A150" s="1" t="s">
        <v>532</v>
      </c>
      <c r="B150" s="1" t="s">
        <v>663</v>
      </c>
      <c r="C150" s="1" t="s">
        <v>24</v>
      </c>
      <c r="D150" s="8">
        <v>46047</v>
      </c>
      <c r="E150" s="8">
        <v>46063</v>
      </c>
      <c r="F150">
        <v>27</v>
      </c>
      <c r="G150">
        <v>302</v>
      </c>
      <c r="H150">
        <v>8154</v>
      </c>
      <c r="I150" s="1" t="s">
        <v>646</v>
      </c>
    </row>
    <row r="151" spans="1:9" x14ac:dyDescent="0.3">
      <c r="A151" s="1" t="s">
        <v>534</v>
      </c>
      <c r="B151" s="1" t="s">
        <v>664</v>
      </c>
      <c r="C151" s="1" t="s">
        <v>33</v>
      </c>
      <c r="D151" s="8">
        <v>46050</v>
      </c>
      <c r="E151" s="8">
        <v>46057</v>
      </c>
      <c r="F151">
        <v>256</v>
      </c>
      <c r="G151">
        <v>80</v>
      </c>
      <c r="H151">
        <v>20480</v>
      </c>
      <c r="I151" s="1" t="s">
        <v>649</v>
      </c>
    </row>
    <row r="152" spans="1:9" x14ac:dyDescent="0.3">
      <c r="A152" s="1" t="s">
        <v>536</v>
      </c>
      <c r="B152" s="1" t="s">
        <v>665</v>
      </c>
      <c r="C152" s="1" t="s">
        <v>28</v>
      </c>
      <c r="D152" s="8">
        <v>46032</v>
      </c>
      <c r="E152" s="8">
        <v>46043</v>
      </c>
      <c r="F152">
        <v>280</v>
      </c>
      <c r="G152">
        <v>381</v>
      </c>
      <c r="H152">
        <v>106680</v>
      </c>
      <c r="I152" s="1" t="s">
        <v>643</v>
      </c>
    </row>
    <row r="153" spans="1:9" x14ac:dyDescent="0.3">
      <c r="A153" s="1" t="s">
        <v>538</v>
      </c>
      <c r="B153" s="1" t="s">
        <v>652</v>
      </c>
      <c r="C153" s="1" t="s">
        <v>30</v>
      </c>
      <c r="D153" s="8">
        <v>45889</v>
      </c>
      <c r="E153" s="8">
        <v>45909</v>
      </c>
      <c r="F153">
        <v>144</v>
      </c>
      <c r="G153">
        <v>253</v>
      </c>
      <c r="H153">
        <v>36432</v>
      </c>
      <c r="I153" s="1" t="s">
        <v>643</v>
      </c>
    </row>
    <row r="154" spans="1:9" x14ac:dyDescent="0.3">
      <c r="A154" s="1" t="s">
        <v>540</v>
      </c>
      <c r="B154" s="1" t="s">
        <v>644</v>
      </c>
      <c r="C154" s="1" t="s">
        <v>30</v>
      </c>
      <c r="D154" s="8">
        <v>45889</v>
      </c>
      <c r="E154" s="8">
        <v>45908</v>
      </c>
      <c r="F154">
        <v>491</v>
      </c>
      <c r="G154">
        <v>326</v>
      </c>
      <c r="H154">
        <v>160066</v>
      </c>
      <c r="I154" s="1" t="s">
        <v>646</v>
      </c>
    </row>
    <row r="155" spans="1:9" x14ac:dyDescent="0.3">
      <c r="A155" s="1" t="s">
        <v>542</v>
      </c>
      <c r="B155" s="1" t="s">
        <v>648</v>
      </c>
      <c r="C155" s="1" t="s">
        <v>11</v>
      </c>
      <c r="D155" s="8">
        <v>46189</v>
      </c>
      <c r="E155" s="8">
        <v>46205</v>
      </c>
      <c r="F155">
        <v>415</v>
      </c>
      <c r="G155">
        <v>424</v>
      </c>
      <c r="H155">
        <v>175960</v>
      </c>
      <c r="I155" s="1" t="s">
        <v>649</v>
      </c>
    </row>
    <row r="156" spans="1:9" x14ac:dyDescent="0.3">
      <c r="A156" s="1" t="s">
        <v>544</v>
      </c>
      <c r="B156" s="1" t="s">
        <v>648</v>
      </c>
      <c r="C156" s="1" t="s">
        <v>19</v>
      </c>
      <c r="D156" s="8">
        <v>46029</v>
      </c>
      <c r="E156" s="8">
        <v>46041</v>
      </c>
      <c r="F156">
        <v>440</v>
      </c>
      <c r="G156">
        <v>21</v>
      </c>
      <c r="H156">
        <v>9240</v>
      </c>
      <c r="I156" s="1" t="s">
        <v>649</v>
      </c>
    </row>
    <row r="157" spans="1:9" x14ac:dyDescent="0.3">
      <c r="A157" s="1" t="s">
        <v>546</v>
      </c>
      <c r="B157" s="1" t="s">
        <v>656</v>
      </c>
      <c r="C157" s="1" t="s">
        <v>33</v>
      </c>
      <c r="D157" s="8">
        <v>46144</v>
      </c>
      <c r="E157" s="8">
        <v>46151</v>
      </c>
      <c r="F157">
        <v>357</v>
      </c>
      <c r="G157">
        <v>270</v>
      </c>
      <c r="H157">
        <v>96390</v>
      </c>
      <c r="I157" s="1" t="s">
        <v>649</v>
      </c>
    </row>
    <row r="158" spans="1:9" x14ac:dyDescent="0.3">
      <c r="A158" s="1" t="s">
        <v>548</v>
      </c>
      <c r="B158" s="1" t="s">
        <v>652</v>
      </c>
      <c r="C158" s="1" t="s">
        <v>8</v>
      </c>
      <c r="D158" s="8">
        <v>46034</v>
      </c>
      <c r="E158" s="8">
        <v>46054</v>
      </c>
      <c r="F158">
        <v>196</v>
      </c>
      <c r="G158">
        <v>190</v>
      </c>
      <c r="H158">
        <v>37240</v>
      </c>
      <c r="I158" s="1" t="s">
        <v>643</v>
      </c>
    </row>
    <row r="159" spans="1:9" x14ac:dyDescent="0.3">
      <c r="A159" s="1" t="s">
        <v>550</v>
      </c>
      <c r="B159" s="1" t="s">
        <v>682</v>
      </c>
      <c r="C159" s="1" t="s">
        <v>46</v>
      </c>
      <c r="D159" s="8">
        <v>45979</v>
      </c>
      <c r="E159" s="8">
        <v>45988</v>
      </c>
      <c r="F159">
        <v>497</v>
      </c>
      <c r="G159">
        <v>184</v>
      </c>
      <c r="H159">
        <v>91448</v>
      </c>
      <c r="I159" s="1" t="s">
        <v>649</v>
      </c>
    </row>
    <row r="160" spans="1:9" x14ac:dyDescent="0.3">
      <c r="A160" s="1" t="s">
        <v>552</v>
      </c>
      <c r="B160" s="1" t="s">
        <v>653</v>
      </c>
      <c r="C160" s="1" t="s">
        <v>16</v>
      </c>
      <c r="D160" s="8">
        <v>45914</v>
      </c>
      <c r="E160" s="8">
        <v>45930</v>
      </c>
      <c r="F160">
        <v>139</v>
      </c>
      <c r="G160">
        <v>458</v>
      </c>
      <c r="H160">
        <v>63662</v>
      </c>
      <c r="I160" s="1" t="s">
        <v>643</v>
      </c>
    </row>
    <row r="161" spans="1:9" x14ac:dyDescent="0.3">
      <c r="A161" s="1" t="s">
        <v>554</v>
      </c>
      <c r="B161" s="1" t="s">
        <v>669</v>
      </c>
      <c r="C161" s="1" t="s">
        <v>28</v>
      </c>
      <c r="D161" s="8">
        <v>46045</v>
      </c>
      <c r="E161" s="8">
        <v>46060</v>
      </c>
      <c r="F161">
        <v>262</v>
      </c>
      <c r="G161">
        <v>381</v>
      </c>
      <c r="H161">
        <v>99822</v>
      </c>
      <c r="I161" s="1" t="s">
        <v>649</v>
      </c>
    </row>
    <row r="162" spans="1:9" x14ac:dyDescent="0.3">
      <c r="A162" s="1" t="s">
        <v>556</v>
      </c>
      <c r="B162" s="1" t="s">
        <v>687</v>
      </c>
      <c r="C162" s="1" t="s">
        <v>30</v>
      </c>
      <c r="D162" s="8">
        <v>45901</v>
      </c>
      <c r="E162" s="8">
        <v>45905</v>
      </c>
      <c r="F162">
        <v>97</v>
      </c>
      <c r="G162">
        <v>273</v>
      </c>
      <c r="H162">
        <v>26481</v>
      </c>
      <c r="I162" s="1" t="s">
        <v>649</v>
      </c>
    </row>
    <row r="163" spans="1:9" x14ac:dyDescent="0.3">
      <c r="A163" s="1" t="s">
        <v>558</v>
      </c>
      <c r="B163" s="1" t="s">
        <v>656</v>
      </c>
      <c r="C163" s="1" t="s">
        <v>33</v>
      </c>
      <c r="D163" s="8">
        <v>45851</v>
      </c>
      <c r="E163" s="8">
        <v>45857</v>
      </c>
      <c r="F163">
        <v>189</v>
      </c>
      <c r="G163">
        <v>465</v>
      </c>
      <c r="H163">
        <v>87885</v>
      </c>
      <c r="I163" s="1" t="s">
        <v>646</v>
      </c>
    </row>
    <row r="164" spans="1:9" x14ac:dyDescent="0.3">
      <c r="A164" s="1" t="s">
        <v>560</v>
      </c>
      <c r="B164" s="1" t="s">
        <v>677</v>
      </c>
      <c r="C164" s="1" t="s">
        <v>30</v>
      </c>
      <c r="D164" s="8">
        <v>45926</v>
      </c>
      <c r="E164" s="8">
        <v>45929</v>
      </c>
      <c r="F164">
        <v>486</v>
      </c>
      <c r="G164">
        <v>253</v>
      </c>
      <c r="H164">
        <v>122958</v>
      </c>
      <c r="I164" s="1" t="s">
        <v>643</v>
      </c>
    </row>
    <row r="165" spans="1:9" x14ac:dyDescent="0.3">
      <c r="A165" s="1" t="s">
        <v>562</v>
      </c>
      <c r="B165" s="1" t="s">
        <v>687</v>
      </c>
      <c r="C165" s="1" t="s">
        <v>19</v>
      </c>
      <c r="D165" s="8">
        <v>46019</v>
      </c>
      <c r="E165" s="8">
        <v>46037</v>
      </c>
      <c r="F165">
        <v>99</v>
      </c>
      <c r="G165">
        <v>58</v>
      </c>
      <c r="H165">
        <v>5742</v>
      </c>
      <c r="I165" s="1" t="s">
        <v>643</v>
      </c>
    </row>
    <row r="166" spans="1:9" x14ac:dyDescent="0.3">
      <c r="A166" s="1" t="s">
        <v>564</v>
      </c>
      <c r="B166" s="1" t="s">
        <v>691</v>
      </c>
      <c r="C166" s="1" t="s">
        <v>11</v>
      </c>
      <c r="D166" s="8">
        <v>46007</v>
      </c>
      <c r="E166" s="8">
        <v>46012</v>
      </c>
      <c r="F166">
        <v>374</v>
      </c>
      <c r="G166">
        <v>223</v>
      </c>
      <c r="H166">
        <v>83402</v>
      </c>
      <c r="I166" s="1" t="s">
        <v>649</v>
      </c>
    </row>
    <row r="167" spans="1:9" x14ac:dyDescent="0.3">
      <c r="A167" s="1" t="s">
        <v>566</v>
      </c>
      <c r="B167" s="1" t="s">
        <v>655</v>
      </c>
      <c r="C167" s="1" t="s">
        <v>8</v>
      </c>
      <c r="D167" s="8">
        <v>45956</v>
      </c>
      <c r="E167" s="8">
        <v>45974</v>
      </c>
      <c r="F167">
        <v>214</v>
      </c>
      <c r="G167">
        <v>182</v>
      </c>
      <c r="H167">
        <v>38948</v>
      </c>
      <c r="I167" s="1" t="s">
        <v>646</v>
      </c>
    </row>
    <row r="168" spans="1:9" x14ac:dyDescent="0.3">
      <c r="A168" s="1" t="s">
        <v>568</v>
      </c>
      <c r="B168" s="1" t="s">
        <v>691</v>
      </c>
      <c r="C168" s="1" t="s">
        <v>46</v>
      </c>
      <c r="D168" s="8">
        <v>46078</v>
      </c>
      <c r="E168" s="8">
        <v>46090</v>
      </c>
      <c r="F168">
        <v>55</v>
      </c>
      <c r="G168">
        <v>140</v>
      </c>
      <c r="H168">
        <v>7700</v>
      </c>
      <c r="I168" s="1" t="s">
        <v>649</v>
      </c>
    </row>
    <row r="169" spans="1:9" x14ac:dyDescent="0.3">
      <c r="A169" s="1" t="s">
        <v>570</v>
      </c>
      <c r="B169" s="1" t="s">
        <v>683</v>
      </c>
      <c r="C169" s="1" t="s">
        <v>33</v>
      </c>
      <c r="D169" s="8">
        <v>45991</v>
      </c>
      <c r="E169" s="8">
        <v>45997</v>
      </c>
      <c r="F169">
        <v>242</v>
      </c>
      <c r="G169">
        <v>70</v>
      </c>
      <c r="H169">
        <v>16940</v>
      </c>
      <c r="I169" s="1" t="s">
        <v>646</v>
      </c>
    </row>
    <row r="170" spans="1:9" x14ac:dyDescent="0.3">
      <c r="A170" s="1" t="s">
        <v>572</v>
      </c>
      <c r="B170" s="1" t="s">
        <v>688</v>
      </c>
      <c r="C170" s="1" t="s">
        <v>16</v>
      </c>
      <c r="D170" s="8">
        <v>45854</v>
      </c>
      <c r="E170" s="8">
        <v>45857</v>
      </c>
      <c r="F170">
        <v>173</v>
      </c>
      <c r="G170">
        <v>482</v>
      </c>
      <c r="H170">
        <v>83386</v>
      </c>
      <c r="I170" s="1" t="s">
        <v>643</v>
      </c>
    </row>
    <row r="171" spans="1:9" x14ac:dyDescent="0.3">
      <c r="A171" s="1" t="s">
        <v>574</v>
      </c>
      <c r="B171" s="1" t="s">
        <v>667</v>
      </c>
      <c r="C171" s="1" t="s">
        <v>28</v>
      </c>
      <c r="D171" s="8">
        <v>46041</v>
      </c>
      <c r="E171" s="8">
        <v>46055</v>
      </c>
      <c r="F171">
        <v>170</v>
      </c>
      <c r="G171">
        <v>203</v>
      </c>
      <c r="H171">
        <v>34510</v>
      </c>
      <c r="I171" s="1" t="s">
        <v>646</v>
      </c>
    </row>
    <row r="172" spans="1:9" x14ac:dyDescent="0.3">
      <c r="A172" s="1" t="s">
        <v>576</v>
      </c>
      <c r="B172" s="1" t="s">
        <v>681</v>
      </c>
      <c r="C172" s="1" t="s">
        <v>30</v>
      </c>
      <c r="D172" s="8">
        <v>46179</v>
      </c>
      <c r="E172" s="8">
        <v>46187</v>
      </c>
      <c r="F172">
        <v>291</v>
      </c>
      <c r="G172">
        <v>230</v>
      </c>
      <c r="H172">
        <v>66930</v>
      </c>
      <c r="I172" s="1" t="s">
        <v>646</v>
      </c>
    </row>
    <row r="173" spans="1:9" x14ac:dyDescent="0.3">
      <c r="A173" s="1" t="s">
        <v>578</v>
      </c>
      <c r="B173" s="1" t="s">
        <v>683</v>
      </c>
      <c r="C173" s="1" t="s">
        <v>14</v>
      </c>
      <c r="D173" s="8">
        <v>45900</v>
      </c>
      <c r="E173" s="8">
        <v>45915</v>
      </c>
      <c r="F173">
        <v>332</v>
      </c>
      <c r="G173">
        <v>465</v>
      </c>
      <c r="H173">
        <v>154380</v>
      </c>
      <c r="I173" s="1" t="s">
        <v>649</v>
      </c>
    </row>
    <row r="174" spans="1:9" x14ac:dyDescent="0.3">
      <c r="A174" s="1" t="s">
        <v>580</v>
      </c>
      <c r="B174" s="1" t="s">
        <v>681</v>
      </c>
      <c r="C174" s="1" t="s">
        <v>46</v>
      </c>
      <c r="D174" s="8">
        <v>46172</v>
      </c>
      <c r="E174" s="8">
        <v>46179</v>
      </c>
      <c r="F174">
        <v>274</v>
      </c>
      <c r="G174">
        <v>487</v>
      </c>
      <c r="H174">
        <v>133438</v>
      </c>
      <c r="I174" s="1" t="s">
        <v>643</v>
      </c>
    </row>
    <row r="175" spans="1:9" x14ac:dyDescent="0.3">
      <c r="A175" s="1" t="s">
        <v>582</v>
      </c>
      <c r="B175" s="1" t="s">
        <v>666</v>
      </c>
      <c r="C175" s="1" t="s">
        <v>16</v>
      </c>
      <c r="D175" s="8">
        <v>45864</v>
      </c>
      <c r="E175" s="8">
        <v>45875</v>
      </c>
      <c r="F175">
        <v>150</v>
      </c>
      <c r="G175">
        <v>255</v>
      </c>
      <c r="H175">
        <v>38250</v>
      </c>
      <c r="I175" s="1" t="s">
        <v>643</v>
      </c>
    </row>
    <row r="176" spans="1:9" x14ac:dyDescent="0.3">
      <c r="A176" s="1" t="s">
        <v>584</v>
      </c>
      <c r="B176" s="1" t="s">
        <v>665</v>
      </c>
      <c r="C176" s="1" t="s">
        <v>24</v>
      </c>
      <c r="D176" s="8">
        <v>45852</v>
      </c>
      <c r="E176" s="8">
        <v>45860</v>
      </c>
      <c r="F176">
        <v>366</v>
      </c>
      <c r="G176">
        <v>299</v>
      </c>
      <c r="H176">
        <v>109434</v>
      </c>
      <c r="I176" s="1" t="s">
        <v>643</v>
      </c>
    </row>
    <row r="177" spans="1:9" x14ac:dyDescent="0.3">
      <c r="A177" s="1" t="s">
        <v>586</v>
      </c>
      <c r="B177" s="1" t="s">
        <v>690</v>
      </c>
      <c r="C177" s="1" t="s">
        <v>19</v>
      </c>
      <c r="D177" s="8">
        <v>46029</v>
      </c>
      <c r="E177" s="8">
        <v>46045</v>
      </c>
      <c r="F177">
        <v>320</v>
      </c>
      <c r="G177">
        <v>173</v>
      </c>
      <c r="H177">
        <v>55360</v>
      </c>
      <c r="I177" s="1" t="s">
        <v>643</v>
      </c>
    </row>
    <row r="178" spans="1:9" x14ac:dyDescent="0.3">
      <c r="A178" s="1" t="s">
        <v>588</v>
      </c>
      <c r="B178" s="1" t="s">
        <v>662</v>
      </c>
      <c r="C178" s="1" t="s">
        <v>24</v>
      </c>
      <c r="D178" s="8">
        <v>46038</v>
      </c>
      <c r="E178" s="8">
        <v>46056</v>
      </c>
      <c r="F178">
        <v>121</v>
      </c>
      <c r="G178">
        <v>216</v>
      </c>
      <c r="H178">
        <v>26136</v>
      </c>
      <c r="I178" s="1" t="s">
        <v>646</v>
      </c>
    </row>
    <row r="179" spans="1:9" x14ac:dyDescent="0.3">
      <c r="A179" s="1" t="s">
        <v>590</v>
      </c>
      <c r="B179" s="1" t="s">
        <v>653</v>
      </c>
      <c r="C179" s="1" t="s">
        <v>19</v>
      </c>
      <c r="D179" s="8">
        <v>46066</v>
      </c>
      <c r="E179" s="8">
        <v>46078</v>
      </c>
      <c r="F179">
        <v>312</v>
      </c>
      <c r="G179">
        <v>203</v>
      </c>
      <c r="H179">
        <v>63336</v>
      </c>
      <c r="I179" s="1" t="s">
        <v>646</v>
      </c>
    </row>
    <row r="180" spans="1:9" x14ac:dyDescent="0.3">
      <c r="A180" s="1" t="s">
        <v>592</v>
      </c>
      <c r="B180" s="1" t="s">
        <v>678</v>
      </c>
      <c r="C180" s="1" t="s">
        <v>14</v>
      </c>
      <c r="D180" s="8">
        <v>46002</v>
      </c>
      <c r="E180" s="8">
        <v>46005</v>
      </c>
      <c r="F180">
        <v>222</v>
      </c>
      <c r="G180">
        <v>160</v>
      </c>
      <c r="H180">
        <v>35520</v>
      </c>
      <c r="I180" s="1" t="s">
        <v>649</v>
      </c>
    </row>
    <row r="181" spans="1:9" x14ac:dyDescent="0.3">
      <c r="A181" s="1" t="s">
        <v>594</v>
      </c>
      <c r="B181" s="1" t="s">
        <v>689</v>
      </c>
      <c r="C181" s="1" t="s">
        <v>19</v>
      </c>
      <c r="D181" s="8">
        <v>45864</v>
      </c>
      <c r="E181" s="8">
        <v>45882</v>
      </c>
      <c r="F181">
        <v>401</v>
      </c>
      <c r="G181">
        <v>45</v>
      </c>
      <c r="H181">
        <v>18045</v>
      </c>
      <c r="I181" s="1" t="s">
        <v>646</v>
      </c>
    </row>
    <row r="182" spans="1:9" x14ac:dyDescent="0.3">
      <c r="A182" s="1" t="s">
        <v>596</v>
      </c>
      <c r="B182" s="1" t="s">
        <v>692</v>
      </c>
      <c r="C182" s="1" t="s">
        <v>46</v>
      </c>
      <c r="D182" s="8">
        <v>46162</v>
      </c>
      <c r="E182" s="8">
        <v>46172</v>
      </c>
      <c r="F182">
        <v>430</v>
      </c>
      <c r="G182">
        <v>200</v>
      </c>
      <c r="H182">
        <v>86000</v>
      </c>
      <c r="I182" s="1" t="s">
        <v>649</v>
      </c>
    </row>
    <row r="183" spans="1:9" x14ac:dyDescent="0.3">
      <c r="A183" s="1" t="s">
        <v>598</v>
      </c>
      <c r="B183" s="1" t="s">
        <v>660</v>
      </c>
      <c r="C183" s="1" t="s">
        <v>24</v>
      </c>
      <c r="D183" s="8">
        <v>46108</v>
      </c>
      <c r="E183" s="8">
        <v>46115</v>
      </c>
      <c r="F183">
        <v>367</v>
      </c>
      <c r="G183">
        <v>406</v>
      </c>
      <c r="H183">
        <v>149002</v>
      </c>
      <c r="I183" s="1" t="s">
        <v>649</v>
      </c>
    </row>
    <row r="184" spans="1:9" x14ac:dyDescent="0.3">
      <c r="A184" s="1" t="s">
        <v>600</v>
      </c>
      <c r="B184" s="1" t="s">
        <v>687</v>
      </c>
      <c r="C184" s="1" t="s">
        <v>16</v>
      </c>
      <c r="D184" s="8">
        <v>46130</v>
      </c>
      <c r="E184" s="8">
        <v>46147</v>
      </c>
      <c r="F184">
        <v>40</v>
      </c>
      <c r="G184">
        <v>178</v>
      </c>
      <c r="H184">
        <v>7120</v>
      </c>
      <c r="I184" s="1" t="s">
        <v>649</v>
      </c>
    </row>
    <row r="185" spans="1:9" x14ac:dyDescent="0.3">
      <c r="A185" s="1" t="s">
        <v>602</v>
      </c>
      <c r="B185" s="1" t="s">
        <v>661</v>
      </c>
      <c r="C185" s="1" t="s">
        <v>19</v>
      </c>
      <c r="D185" s="8">
        <v>45885</v>
      </c>
      <c r="E185" s="8">
        <v>45890</v>
      </c>
      <c r="F185">
        <v>394</v>
      </c>
      <c r="G185">
        <v>87</v>
      </c>
      <c r="H185">
        <v>34278</v>
      </c>
      <c r="I185" s="1" t="s">
        <v>643</v>
      </c>
    </row>
    <row r="186" spans="1:9" x14ac:dyDescent="0.3">
      <c r="A186" s="1" t="s">
        <v>604</v>
      </c>
      <c r="B186" s="1" t="s">
        <v>669</v>
      </c>
      <c r="C186" s="1" t="s">
        <v>30</v>
      </c>
      <c r="D186" s="8">
        <v>46178</v>
      </c>
      <c r="E186" s="8">
        <v>46187</v>
      </c>
      <c r="F186">
        <v>232</v>
      </c>
      <c r="G186">
        <v>109</v>
      </c>
      <c r="H186">
        <v>25288</v>
      </c>
      <c r="I186" s="1" t="s">
        <v>649</v>
      </c>
    </row>
    <row r="187" spans="1:9" x14ac:dyDescent="0.3">
      <c r="A187" s="1" t="s">
        <v>606</v>
      </c>
      <c r="B187" s="1" t="s">
        <v>661</v>
      </c>
      <c r="C187" s="1" t="s">
        <v>30</v>
      </c>
      <c r="D187" s="8">
        <v>45939</v>
      </c>
      <c r="E187" s="8">
        <v>45950</v>
      </c>
      <c r="F187">
        <v>291</v>
      </c>
      <c r="G187">
        <v>276</v>
      </c>
      <c r="H187">
        <v>80316</v>
      </c>
      <c r="I187" s="1" t="s">
        <v>643</v>
      </c>
    </row>
    <row r="188" spans="1:9" x14ac:dyDescent="0.3">
      <c r="A188" s="1" t="s">
        <v>608</v>
      </c>
      <c r="B188" s="1" t="s">
        <v>652</v>
      </c>
      <c r="C188" s="1" t="s">
        <v>24</v>
      </c>
      <c r="D188" s="8">
        <v>45905</v>
      </c>
      <c r="E188" s="8">
        <v>45918</v>
      </c>
      <c r="F188">
        <v>432</v>
      </c>
      <c r="G188">
        <v>171</v>
      </c>
      <c r="H188">
        <v>73872</v>
      </c>
      <c r="I188" s="1" t="s">
        <v>643</v>
      </c>
    </row>
    <row r="189" spans="1:9" x14ac:dyDescent="0.3">
      <c r="A189" s="1" t="s">
        <v>610</v>
      </c>
      <c r="B189" s="1" t="s">
        <v>658</v>
      </c>
      <c r="C189" s="1" t="s">
        <v>28</v>
      </c>
      <c r="D189" s="8">
        <v>46168</v>
      </c>
      <c r="E189" s="8">
        <v>46178</v>
      </c>
      <c r="F189">
        <v>92</v>
      </c>
      <c r="G189">
        <v>406</v>
      </c>
      <c r="H189">
        <v>37352</v>
      </c>
      <c r="I189" s="1" t="s">
        <v>649</v>
      </c>
    </row>
    <row r="190" spans="1:9" x14ac:dyDescent="0.3">
      <c r="A190" s="1" t="s">
        <v>612</v>
      </c>
      <c r="B190" s="1" t="s">
        <v>661</v>
      </c>
      <c r="C190" s="1" t="s">
        <v>16</v>
      </c>
      <c r="D190" s="8">
        <v>46134</v>
      </c>
      <c r="E190" s="8">
        <v>46149</v>
      </c>
      <c r="F190">
        <v>66</v>
      </c>
      <c r="G190">
        <v>424</v>
      </c>
      <c r="H190">
        <v>27984</v>
      </c>
      <c r="I190" s="1" t="s">
        <v>643</v>
      </c>
    </row>
    <row r="191" spans="1:9" x14ac:dyDescent="0.3">
      <c r="A191" s="1" t="s">
        <v>614</v>
      </c>
      <c r="B191" s="1" t="s">
        <v>655</v>
      </c>
      <c r="C191" s="1" t="s">
        <v>19</v>
      </c>
      <c r="D191" s="8">
        <v>45869</v>
      </c>
      <c r="E191" s="8">
        <v>45883</v>
      </c>
      <c r="F191">
        <v>83</v>
      </c>
      <c r="G191">
        <v>252</v>
      </c>
      <c r="H191">
        <v>20916</v>
      </c>
      <c r="I191" s="1" t="s">
        <v>649</v>
      </c>
    </row>
    <row r="192" spans="1:9" x14ac:dyDescent="0.3">
      <c r="A192" s="1" t="s">
        <v>616</v>
      </c>
      <c r="B192" s="1" t="s">
        <v>653</v>
      </c>
      <c r="C192" s="1" t="s">
        <v>24</v>
      </c>
      <c r="D192" s="8">
        <v>46101</v>
      </c>
      <c r="E192" s="8">
        <v>46115</v>
      </c>
      <c r="F192">
        <v>441</v>
      </c>
      <c r="G192">
        <v>346</v>
      </c>
      <c r="H192">
        <v>152586</v>
      </c>
      <c r="I192" s="1" t="s">
        <v>649</v>
      </c>
    </row>
    <row r="193" spans="1:9" x14ac:dyDescent="0.3">
      <c r="A193" s="1" t="s">
        <v>618</v>
      </c>
      <c r="B193" s="1" t="s">
        <v>675</v>
      </c>
      <c r="C193" s="1" t="s">
        <v>11</v>
      </c>
      <c r="D193" s="8">
        <v>46020</v>
      </c>
      <c r="E193" s="8">
        <v>46040</v>
      </c>
      <c r="F193">
        <v>261</v>
      </c>
      <c r="G193">
        <v>32</v>
      </c>
      <c r="H193">
        <v>8352</v>
      </c>
      <c r="I193" s="1" t="s">
        <v>649</v>
      </c>
    </row>
    <row r="194" spans="1:9" x14ac:dyDescent="0.3">
      <c r="A194" s="1" t="s">
        <v>620</v>
      </c>
      <c r="B194" s="1" t="s">
        <v>675</v>
      </c>
      <c r="C194" s="1" t="s">
        <v>19</v>
      </c>
      <c r="D194" s="8">
        <v>45982</v>
      </c>
      <c r="E194" s="8">
        <v>45999</v>
      </c>
      <c r="F194">
        <v>351</v>
      </c>
      <c r="G194">
        <v>52</v>
      </c>
      <c r="H194">
        <v>18252</v>
      </c>
      <c r="I194" s="1" t="s">
        <v>649</v>
      </c>
    </row>
    <row r="195" spans="1:9" x14ac:dyDescent="0.3">
      <c r="A195" s="1" t="s">
        <v>622</v>
      </c>
      <c r="B195" s="1" t="s">
        <v>645</v>
      </c>
      <c r="C195" s="1" t="s">
        <v>16</v>
      </c>
      <c r="D195" s="8">
        <v>46018</v>
      </c>
      <c r="E195" s="8">
        <v>46022</v>
      </c>
      <c r="F195">
        <v>79</v>
      </c>
      <c r="G195">
        <v>91</v>
      </c>
      <c r="H195">
        <v>7189</v>
      </c>
      <c r="I195" s="1" t="s">
        <v>643</v>
      </c>
    </row>
    <row r="196" spans="1:9" x14ac:dyDescent="0.3">
      <c r="A196" s="1" t="s">
        <v>624</v>
      </c>
      <c r="B196" s="1" t="s">
        <v>685</v>
      </c>
      <c r="C196" s="1" t="s">
        <v>8</v>
      </c>
      <c r="D196" s="8">
        <v>45999</v>
      </c>
      <c r="E196" s="8">
        <v>46009</v>
      </c>
      <c r="F196">
        <v>79</v>
      </c>
      <c r="G196">
        <v>69</v>
      </c>
      <c r="H196">
        <v>5451</v>
      </c>
      <c r="I196" s="1" t="s">
        <v>646</v>
      </c>
    </row>
    <row r="197" spans="1:9" x14ac:dyDescent="0.3">
      <c r="A197" s="1" t="s">
        <v>626</v>
      </c>
      <c r="B197" s="1" t="s">
        <v>653</v>
      </c>
      <c r="C197" s="1" t="s">
        <v>28</v>
      </c>
      <c r="D197" s="8">
        <v>45900</v>
      </c>
      <c r="E197" s="8">
        <v>45920</v>
      </c>
      <c r="F197">
        <v>252</v>
      </c>
      <c r="G197">
        <v>209</v>
      </c>
      <c r="H197">
        <v>52668</v>
      </c>
      <c r="I197" s="1" t="s">
        <v>649</v>
      </c>
    </row>
    <row r="198" spans="1:9" x14ac:dyDescent="0.3">
      <c r="A198" s="1" t="s">
        <v>628</v>
      </c>
      <c r="B198" s="1" t="s">
        <v>669</v>
      </c>
      <c r="C198" s="1" t="s">
        <v>24</v>
      </c>
      <c r="D198" s="8">
        <v>45935</v>
      </c>
      <c r="E198" s="8">
        <v>45951</v>
      </c>
      <c r="F198">
        <v>392</v>
      </c>
      <c r="G198">
        <v>99</v>
      </c>
      <c r="H198">
        <v>38808</v>
      </c>
      <c r="I198" s="1" t="s">
        <v>643</v>
      </c>
    </row>
    <row r="199" spans="1:9" x14ac:dyDescent="0.3">
      <c r="A199" s="1" t="s">
        <v>630</v>
      </c>
      <c r="B199" s="1" t="s">
        <v>691</v>
      </c>
      <c r="C199" s="1" t="s">
        <v>16</v>
      </c>
      <c r="D199" s="8">
        <v>45919</v>
      </c>
      <c r="E199" s="8">
        <v>45930</v>
      </c>
      <c r="F199">
        <v>228</v>
      </c>
      <c r="G199">
        <v>500</v>
      </c>
      <c r="H199">
        <v>114000</v>
      </c>
      <c r="I199" s="1" t="s">
        <v>649</v>
      </c>
    </row>
    <row r="200" spans="1:9" x14ac:dyDescent="0.3">
      <c r="A200" s="1" t="s">
        <v>632</v>
      </c>
      <c r="B200" s="1" t="s">
        <v>661</v>
      </c>
      <c r="C200" s="1" t="s">
        <v>46</v>
      </c>
      <c r="D200" s="8">
        <v>46093</v>
      </c>
      <c r="E200" s="8">
        <v>46110</v>
      </c>
      <c r="F200">
        <v>131</v>
      </c>
      <c r="G200">
        <v>247</v>
      </c>
      <c r="H200">
        <v>32357</v>
      </c>
      <c r="I200" s="1" t="s">
        <v>643</v>
      </c>
    </row>
    <row r="201" spans="1:9" x14ac:dyDescent="0.3">
      <c r="A201" s="1" t="s">
        <v>634</v>
      </c>
      <c r="B201" s="1" t="s">
        <v>650</v>
      </c>
      <c r="C201" s="1" t="s">
        <v>11</v>
      </c>
      <c r="D201" s="8">
        <v>45934</v>
      </c>
      <c r="E201" s="8">
        <v>45954</v>
      </c>
      <c r="F201">
        <v>371</v>
      </c>
      <c r="G201">
        <v>208</v>
      </c>
      <c r="H201">
        <v>77168</v>
      </c>
      <c r="I201" s="1" t="s">
        <v>646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25CB6-B9BD-48D7-8407-10F639E1E6D0}">
  <dimension ref="A1:F51"/>
  <sheetViews>
    <sheetView workbookViewId="0"/>
  </sheetViews>
  <sheetFormatPr defaultRowHeight="14.4" x14ac:dyDescent="0.3"/>
  <cols>
    <col min="1" max="1" width="12.88671875" bestFit="1" customWidth="1"/>
    <col min="2" max="2" width="26.33203125" bestFit="1" customWidth="1"/>
    <col min="3" max="3" width="10.5546875" bestFit="1" customWidth="1"/>
    <col min="4" max="4" width="12.21875" bestFit="1" customWidth="1"/>
    <col min="5" max="5" width="17" bestFit="1" customWidth="1"/>
    <col min="6" max="6" width="16.44140625" bestFit="1" customWidth="1"/>
  </cols>
  <sheetData>
    <row r="1" spans="1:6" x14ac:dyDescent="0.3">
      <c r="A1" t="s">
        <v>635</v>
      </c>
      <c r="B1" t="s">
        <v>901</v>
      </c>
      <c r="C1" t="s">
        <v>902</v>
      </c>
      <c r="D1" t="s">
        <v>903</v>
      </c>
      <c r="E1" t="s">
        <v>904</v>
      </c>
      <c r="F1" t="s">
        <v>905</v>
      </c>
    </row>
    <row r="2" spans="1:6" x14ac:dyDescent="0.3">
      <c r="A2" s="1" t="s">
        <v>668</v>
      </c>
      <c r="B2" s="1" t="s">
        <v>906</v>
      </c>
      <c r="C2" s="1" t="s">
        <v>907</v>
      </c>
      <c r="D2" s="1" t="s">
        <v>908</v>
      </c>
      <c r="E2">
        <v>11</v>
      </c>
      <c r="F2">
        <v>3.9</v>
      </c>
    </row>
    <row r="3" spans="1:6" x14ac:dyDescent="0.3">
      <c r="A3" s="1" t="s">
        <v>686</v>
      </c>
      <c r="B3" s="1" t="s">
        <v>909</v>
      </c>
      <c r="C3" s="1" t="s">
        <v>910</v>
      </c>
      <c r="D3" s="1" t="s">
        <v>911</v>
      </c>
      <c r="E3">
        <v>6</v>
      </c>
      <c r="F3">
        <v>4.5</v>
      </c>
    </row>
    <row r="4" spans="1:6" x14ac:dyDescent="0.3">
      <c r="A4" s="1" t="s">
        <v>670</v>
      </c>
      <c r="B4" s="1" t="s">
        <v>912</v>
      </c>
      <c r="C4" s="1" t="s">
        <v>907</v>
      </c>
      <c r="D4" s="1" t="s">
        <v>913</v>
      </c>
      <c r="E4">
        <v>16</v>
      </c>
      <c r="F4">
        <v>3.5</v>
      </c>
    </row>
    <row r="5" spans="1:6" x14ac:dyDescent="0.3">
      <c r="A5" s="1" t="s">
        <v>667</v>
      </c>
      <c r="B5" s="1" t="s">
        <v>914</v>
      </c>
      <c r="C5" s="1" t="s">
        <v>907</v>
      </c>
      <c r="D5" s="1" t="s">
        <v>915</v>
      </c>
      <c r="E5">
        <v>10</v>
      </c>
      <c r="F5">
        <v>4.3</v>
      </c>
    </row>
    <row r="6" spans="1:6" x14ac:dyDescent="0.3">
      <c r="A6" s="1" t="s">
        <v>658</v>
      </c>
      <c r="B6" s="1" t="s">
        <v>916</v>
      </c>
      <c r="C6" s="1" t="s">
        <v>917</v>
      </c>
      <c r="D6" s="1" t="s">
        <v>913</v>
      </c>
      <c r="E6">
        <v>9</v>
      </c>
      <c r="F6">
        <v>4.5999999999999996</v>
      </c>
    </row>
    <row r="7" spans="1:6" x14ac:dyDescent="0.3">
      <c r="A7" s="1" t="s">
        <v>683</v>
      </c>
      <c r="B7" s="1" t="s">
        <v>918</v>
      </c>
      <c r="C7" s="1" t="s">
        <v>919</v>
      </c>
      <c r="D7" s="1" t="s">
        <v>915</v>
      </c>
      <c r="E7">
        <v>17</v>
      </c>
      <c r="F7">
        <v>4.4000000000000004</v>
      </c>
    </row>
    <row r="8" spans="1:6" x14ac:dyDescent="0.3">
      <c r="A8" s="1" t="s">
        <v>650</v>
      </c>
      <c r="B8" s="1" t="s">
        <v>920</v>
      </c>
      <c r="C8" s="1" t="s">
        <v>917</v>
      </c>
      <c r="D8" s="1" t="s">
        <v>915</v>
      </c>
      <c r="E8">
        <v>25</v>
      </c>
      <c r="F8">
        <v>4.0999999999999996</v>
      </c>
    </row>
    <row r="9" spans="1:6" x14ac:dyDescent="0.3">
      <c r="A9" s="1" t="s">
        <v>664</v>
      </c>
      <c r="B9" s="1" t="s">
        <v>921</v>
      </c>
      <c r="C9" s="1" t="s">
        <v>922</v>
      </c>
      <c r="D9" s="1" t="s">
        <v>915</v>
      </c>
      <c r="E9">
        <v>9</v>
      </c>
      <c r="F9">
        <v>4.9000000000000004</v>
      </c>
    </row>
    <row r="10" spans="1:6" x14ac:dyDescent="0.3">
      <c r="A10" s="1" t="s">
        <v>679</v>
      </c>
      <c r="B10" s="1" t="s">
        <v>923</v>
      </c>
      <c r="C10" s="1" t="s">
        <v>924</v>
      </c>
      <c r="D10" s="1" t="s">
        <v>908</v>
      </c>
      <c r="E10">
        <v>5</v>
      </c>
      <c r="F10">
        <v>4.0999999999999996</v>
      </c>
    </row>
    <row r="11" spans="1:6" x14ac:dyDescent="0.3">
      <c r="A11" s="1" t="s">
        <v>684</v>
      </c>
      <c r="B11" s="1" t="s">
        <v>925</v>
      </c>
      <c r="C11" s="1" t="s">
        <v>924</v>
      </c>
      <c r="D11" s="1" t="s">
        <v>926</v>
      </c>
      <c r="E11">
        <v>22</v>
      </c>
      <c r="F11">
        <v>3.9</v>
      </c>
    </row>
    <row r="12" spans="1:6" x14ac:dyDescent="0.3">
      <c r="A12" s="1" t="s">
        <v>674</v>
      </c>
      <c r="B12" s="1" t="s">
        <v>927</v>
      </c>
      <c r="C12" s="1" t="s">
        <v>917</v>
      </c>
      <c r="D12" s="1" t="s">
        <v>911</v>
      </c>
      <c r="E12">
        <v>17</v>
      </c>
      <c r="F12">
        <v>4.3</v>
      </c>
    </row>
    <row r="13" spans="1:6" x14ac:dyDescent="0.3">
      <c r="A13" s="1" t="s">
        <v>672</v>
      </c>
      <c r="B13" s="1" t="s">
        <v>928</v>
      </c>
      <c r="C13" s="1" t="s">
        <v>919</v>
      </c>
      <c r="D13" s="1" t="s">
        <v>908</v>
      </c>
      <c r="E13">
        <v>20</v>
      </c>
      <c r="F13">
        <v>3.9</v>
      </c>
    </row>
    <row r="14" spans="1:6" x14ac:dyDescent="0.3">
      <c r="A14" s="1" t="s">
        <v>644</v>
      </c>
      <c r="B14" s="1" t="s">
        <v>929</v>
      </c>
      <c r="C14" s="1" t="s">
        <v>924</v>
      </c>
      <c r="D14" s="1" t="s">
        <v>913</v>
      </c>
      <c r="E14">
        <v>9</v>
      </c>
      <c r="F14">
        <v>4.5999999999999996</v>
      </c>
    </row>
    <row r="15" spans="1:6" x14ac:dyDescent="0.3">
      <c r="A15" s="1" t="s">
        <v>659</v>
      </c>
      <c r="B15" s="1" t="s">
        <v>930</v>
      </c>
      <c r="C15" s="1" t="s">
        <v>917</v>
      </c>
      <c r="D15" s="1" t="s">
        <v>911</v>
      </c>
      <c r="E15">
        <v>10</v>
      </c>
      <c r="F15">
        <v>4.7</v>
      </c>
    </row>
    <row r="16" spans="1:6" x14ac:dyDescent="0.3">
      <c r="A16" s="1" t="s">
        <v>675</v>
      </c>
      <c r="B16" s="1" t="s">
        <v>931</v>
      </c>
      <c r="C16" s="1" t="s">
        <v>907</v>
      </c>
      <c r="D16" s="1" t="s">
        <v>915</v>
      </c>
      <c r="E16">
        <v>6</v>
      </c>
      <c r="F16">
        <v>4.0999999999999996</v>
      </c>
    </row>
    <row r="17" spans="1:6" x14ac:dyDescent="0.3">
      <c r="A17" s="1" t="s">
        <v>681</v>
      </c>
      <c r="B17" s="1" t="s">
        <v>932</v>
      </c>
      <c r="C17" s="1" t="s">
        <v>933</v>
      </c>
      <c r="D17" s="1" t="s">
        <v>911</v>
      </c>
      <c r="E17">
        <v>14</v>
      </c>
      <c r="F17">
        <v>3.7</v>
      </c>
    </row>
    <row r="18" spans="1:6" x14ac:dyDescent="0.3">
      <c r="A18" s="1" t="s">
        <v>660</v>
      </c>
      <c r="B18" s="1" t="s">
        <v>934</v>
      </c>
      <c r="C18" s="1" t="s">
        <v>924</v>
      </c>
      <c r="D18" s="1" t="s">
        <v>915</v>
      </c>
      <c r="E18">
        <v>24</v>
      </c>
      <c r="F18">
        <v>3.9</v>
      </c>
    </row>
    <row r="19" spans="1:6" x14ac:dyDescent="0.3">
      <c r="A19" s="1" t="s">
        <v>648</v>
      </c>
      <c r="B19" s="1" t="s">
        <v>935</v>
      </c>
      <c r="C19" s="1" t="s">
        <v>907</v>
      </c>
      <c r="D19" s="1" t="s">
        <v>913</v>
      </c>
      <c r="E19">
        <v>23</v>
      </c>
      <c r="F19">
        <v>3.8</v>
      </c>
    </row>
    <row r="20" spans="1:6" x14ac:dyDescent="0.3">
      <c r="A20" s="1" t="s">
        <v>665</v>
      </c>
      <c r="B20" s="1" t="s">
        <v>936</v>
      </c>
      <c r="C20" s="1" t="s">
        <v>937</v>
      </c>
      <c r="D20" s="1" t="s">
        <v>915</v>
      </c>
      <c r="E20">
        <v>17</v>
      </c>
      <c r="F20">
        <v>4.0999999999999996</v>
      </c>
    </row>
    <row r="21" spans="1:6" x14ac:dyDescent="0.3">
      <c r="A21" s="1" t="s">
        <v>662</v>
      </c>
      <c r="B21" s="1" t="s">
        <v>938</v>
      </c>
      <c r="C21" s="1" t="s">
        <v>937</v>
      </c>
      <c r="D21" s="1" t="s">
        <v>911</v>
      </c>
      <c r="E21">
        <v>13</v>
      </c>
      <c r="F21">
        <v>4.8</v>
      </c>
    </row>
    <row r="22" spans="1:6" x14ac:dyDescent="0.3">
      <c r="A22" s="1" t="s">
        <v>676</v>
      </c>
      <c r="B22" s="1" t="s">
        <v>939</v>
      </c>
      <c r="C22" s="1" t="s">
        <v>917</v>
      </c>
      <c r="D22" s="1" t="s">
        <v>915</v>
      </c>
      <c r="E22">
        <v>4</v>
      </c>
      <c r="F22">
        <v>4.7</v>
      </c>
    </row>
    <row r="23" spans="1:6" x14ac:dyDescent="0.3">
      <c r="A23" s="1" t="s">
        <v>673</v>
      </c>
      <c r="B23" s="1" t="s">
        <v>940</v>
      </c>
      <c r="C23" s="1" t="s">
        <v>919</v>
      </c>
      <c r="D23" s="1" t="s">
        <v>926</v>
      </c>
      <c r="E23">
        <v>5</v>
      </c>
      <c r="F23">
        <v>3.8</v>
      </c>
    </row>
    <row r="24" spans="1:6" x14ac:dyDescent="0.3">
      <c r="A24" s="1" t="s">
        <v>690</v>
      </c>
      <c r="B24" s="1" t="s">
        <v>941</v>
      </c>
      <c r="C24" s="1" t="s">
        <v>924</v>
      </c>
      <c r="D24" s="1" t="s">
        <v>915</v>
      </c>
      <c r="E24">
        <v>23</v>
      </c>
      <c r="F24">
        <v>4.2</v>
      </c>
    </row>
    <row r="25" spans="1:6" x14ac:dyDescent="0.3">
      <c r="A25" s="1" t="s">
        <v>661</v>
      </c>
      <c r="B25" s="1" t="s">
        <v>942</v>
      </c>
      <c r="C25" s="1" t="s">
        <v>933</v>
      </c>
      <c r="D25" s="1" t="s">
        <v>915</v>
      </c>
      <c r="E25">
        <v>11</v>
      </c>
      <c r="F25">
        <v>3.7</v>
      </c>
    </row>
    <row r="26" spans="1:6" x14ac:dyDescent="0.3">
      <c r="A26" s="1" t="s">
        <v>653</v>
      </c>
      <c r="B26" s="1" t="s">
        <v>943</v>
      </c>
      <c r="C26" s="1" t="s">
        <v>922</v>
      </c>
      <c r="D26" s="1" t="s">
        <v>911</v>
      </c>
      <c r="E26">
        <v>21</v>
      </c>
      <c r="F26">
        <v>4.0999999999999996</v>
      </c>
    </row>
    <row r="27" spans="1:6" x14ac:dyDescent="0.3">
      <c r="A27" s="1" t="s">
        <v>647</v>
      </c>
      <c r="B27" s="1" t="s">
        <v>944</v>
      </c>
      <c r="C27" s="1" t="s">
        <v>919</v>
      </c>
      <c r="D27" s="1" t="s">
        <v>926</v>
      </c>
      <c r="E27">
        <v>10</v>
      </c>
      <c r="F27">
        <v>5</v>
      </c>
    </row>
    <row r="28" spans="1:6" x14ac:dyDescent="0.3">
      <c r="A28" s="1" t="s">
        <v>645</v>
      </c>
      <c r="B28" s="1" t="s">
        <v>945</v>
      </c>
      <c r="C28" s="1" t="s">
        <v>910</v>
      </c>
      <c r="D28" s="1" t="s">
        <v>913</v>
      </c>
      <c r="E28">
        <v>18</v>
      </c>
      <c r="F28">
        <v>3.6</v>
      </c>
    </row>
    <row r="29" spans="1:6" x14ac:dyDescent="0.3">
      <c r="A29" s="1" t="s">
        <v>654</v>
      </c>
      <c r="B29" s="1" t="s">
        <v>946</v>
      </c>
      <c r="C29" s="1" t="s">
        <v>917</v>
      </c>
      <c r="D29" s="1" t="s">
        <v>908</v>
      </c>
      <c r="E29">
        <v>7</v>
      </c>
      <c r="F29">
        <v>4.4000000000000004</v>
      </c>
    </row>
    <row r="30" spans="1:6" x14ac:dyDescent="0.3">
      <c r="A30" s="1" t="s">
        <v>680</v>
      </c>
      <c r="B30" s="1" t="s">
        <v>947</v>
      </c>
      <c r="C30" s="1" t="s">
        <v>919</v>
      </c>
      <c r="D30" s="1" t="s">
        <v>913</v>
      </c>
      <c r="E30">
        <v>5</v>
      </c>
      <c r="F30">
        <v>4.0999999999999996</v>
      </c>
    </row>
    <row r="31" spans="1:6" x14ac:dyDescent="0.3">
      <c r="A31" s="1" t="s">
        <v>682</v>
      </c>
      <c r="B31" s="1" t="s">
        <v>948</v>
      </c>
      <c r="C31" s="1" t="s">
        <v>933</v>
      </c>
      <c r="D31" s="1" t="s">
        <v>913</v>
      </c>
      <c r="E31">
        <v>11</v>
      </c>
      <c r="F31">
        <v>5</v>
      </c>
    </row>
    <row r="32" spans="1:6" x14ac:dyDescent="0.3">
      <c r="A32" s="1" t="s">
        <v>652</v>
      </c>
      <c r="B32" s="1" t="s">
        <v>949</v>
      </c>
      <c r="C32" s="1" t="s">
        <v>917</v>
      </c>
      <c r="D32" s="1" t="s">
        <v>911</v>
      </c>
      <c r="E32">
        <v>6</v>
      </c>
      <c r="F32">
        <v>4.5</v>
      </c>
    </row>
    <row r="33" spans="1:6" x14ac:dyDescent="0.3">
      <c r="A33" s="1" t="s">
        <v>685</v>
      </c>
      <c r="B33" s="1" t="s">
        <v>950</v>
      </c>
      <c r="C33" s="1" t="s">
        <v>922</v>
      </c>
      <c r="D33" s="1" t="s">
        <v>911</v>
      </c>
      <c r="E33">
        <v>13</v>
      </c>
      <c r="F33">
        <v>3.7</v>
      </c>
    </row>
    <row r="34" spans="1:6" x14ac:dyDescent="0.3">
      <c r="A34" s="1" t="s">
        <v>657</v>
      </c>
      <c r="B34" s="1" t="s">
        <v>951</v>
      </c>
      <c r="C34" s="1" t="s">
        <v>919</v>
      </c>
      <c r="D34" s="1" t="s">
        <v>915</v>
      </c>
      <c r="E34">
        <v>17</v>
      </c>
      <c r="F34">
        <v>3.5</v>
      </c>
    </row>
    <row r="35" spans="1:6" x14ac:dyDescent="0.3">
      <c r="A35" s="1" t="s">
        <v>677</v>
      </c>
      <c r="B35" s="1" t="s">
        <v>952</v>
      </c>
      <c r="C35" s="1" t="s">
        <v>922</v>
      </c>
      <c r="D35" s="1" t="s">
        <v>913</v>
      </c>
      <c r="E35">
        <v>8</v>
      </c>
      <c r="F35">
        <v>4.3</v>
      </c>
    </row>
    <row r="36" spans="1:6" x14ac:dyDescent="0.3">
      <c r="A36" s="1" t="s">
        <v>655</v>
      </c>
      <c r="B36" s="1" t="s">
        <v>953</v>
      </c>
      <c r="C36" s="1" t="s">
        <v>907</v>
      </c>
      <c r="D36" s="1" t="s">
        <v>911</v>
      </c>
      <c r="E36">
        <v>12</v>
      </c>
      <c r="F36">
        <v>4.8</v>
      </c>
    </row>
    <row r="37" spans="1:6" x14ac:dyDescent="0.3">
      <c r="A37" s="1" t="s">
        <v>663</v>
      </c>
      <c r="B37" s="1" t="s">
        <v>954</v>
      </c>
      <c r="C37" s="1" t="s">
        <v>937</v>
      </c>
      <c r="D37" s="1" t="s">
        <v>915</v>
      </c>
      <c r="E37">
        <v>14</v>
      </c>
      <c r="F37">
        <v>4.5999999999999996</v>
      </c>
    </row>
    <row r="38" spans="1:6" x14ac:dyDescent="0.3">
      <c r="A38" s="1" t="s">
        <v>642</v>
      </c>
      <c r="B38" s="1" t="s">
        <v>955</v>
      </c>
      <c r="C38" s="1" t="s">
        <v>917</v>
      </c>
      <c r="D38" s="1" t="s">
        <v>913</v>
      </c>
      <c r="E38">
        <v>13</v>
      </c>
      <c r="F38">
        <v>4.2</v>
      </c>
    </row>
    <row r="39" spans="1:6" x14ac:dyDescent="0.3">
      <c r="A39" s="1" t="s">
        <v>656</v>
      </c>
      <c r="B39" s="1" t="s">
        <v>956</v>
      </c>
      <c r="C39" s="1" t="s">
        <v>907</v>
      </c>
      <c r="D39" s="1" t="s">
        <v>926</v>
      </c>
      <c r="E39">
        <v>12</v>
      </c>
      <c r="F39">
        <v>3.9</v>
      </c>
    </row>
    <row r="40" spans="1:6" x14ac:dyDescent="0.3">
      <c r="A40" s="1" t="s">
        <v>692</v>
      </c>
      <c r="B40" s="1" t="s">
        <v>957</v>
      </c>
      <c r="C40" s="1" t="s">
        <v>937</v>
      </c>
      <c r="D40" s="1" t="s">
        <v>913</v>
      </c>
      <c r="E40">
        <v>5</v>
      </c>
      <c r="F40">
        <v>3.6</v>
      </c>
    </row>
    <row r="41" spans="1:6" x14ac:dyDescent="0.3">
      <c r="A41" s="1" t="s">
        <v>691</v>
      </c>
      <c r="B41" s="1" t="s">
        <v>958</v>
      </c>
      <c r="C41" s="1" t="s">
        <v>933</v>
      </c>
      <c r="D41" s="1" t="s">
        <v>908</v>
      </c>
      <c r="E41">
        <v>20</v>
      </c>
      <c r="F41">
        <v>4.5999999999999996</v>
      </c>
    </row>
    <row r="42" spans="1:6" x14ac:dyDescent="0.3">
      <c r="A42" s="1" t="s">
        <v>666</v>
      </c>
      <c r="B42" s="1" t="s">
        <v>959</v>
      </c>
      <c r="C42" s="1" t="s">
        <v>910</v>
      </c>
      <c r="D42" s="1" t="s">
        <v>911</v>
      </c>
      <c r="E42">
        <v>18</v>
      </c>
      <c r="F42">
        <v>4.9000000000000004</v>
      </c>
    </row>
    <row r="43" spans="1:6" x14ac:dyDescent="0.3">
      <c r="A43" s="1" t="s">
        <v>687</v>
      </c>
      <c r="B43" s="1" t="s">
        <v>960</v>
      </c>
      <c r="C43" s="1" t="s">
        <v>910</v>
      </c>
      <c r="D43" s="1" t="s">
        <v>926</v>
      </c>
      <c r="E43">
        <v>19</v>
      </c>
      <c r="F43">
        <v>4.8</v>
      </c>
    </row>
    <row r="44" spans="1:6" x14ac:dyDescent="0.3">
      <c r="A44" s="1" t="s">
        <v>678</v>
      </c>
      <c r="B44" s="1" t="s">
        <v>961</v>
      </c>
      <c r="C44" s="1" t="s">
        <v>919</v>
      </c>
      <c r="D44" s="1" t="s">
        <v>915</v>
      </c>
      <c r="E44">
        <v>20</v>
      </c>
      <c r="F44">
        <v>4.5999999999999996</v>
      </c>
    </row>
    <row r="45" spans="1:6" x14ac:dyDescent="0.3">
      <c r="A45" s="1" t="s">
        <v>671</v>
      </c>
      <c r="B45" s="1" t="s">
        <v>962</v>
      </c>
      <c r="C45" s="1" t="s">
        <v>937</v>
      </c>
      <c r="D45" s="1" t="s">
        <v>911</v>
      </c>
      <c r="E45">
        <v>12</v>
      </c>
      <c r="F45">
        <v>4.0999999999999996</v>
      </c>
    </row>
    <row r="46" spans="1:6" x14ac:dyDescent="0.3">
      <c r="A46" s="1" t="s">
        <v>688</v>
      </c>
      <c r="B46" s="1" t="s">
        <v>963</v>
      </c>
      <c r="C46" s="1" t="s">
        <v>924</v>
      </c>
      <c r="D46" s="1" t="s">
        <v>964</v>
      </c>
      <c r="E46">
        <v>19</v>
      </c>
      <c r="F46">
        <v>4.2</v>
      </c>
    </row>
    <row r="47" spans="1:6" x14ac:dyDescent="0.3">
      <c r="A47" s="1" t="s">
        <v>965</v>
      </c>
      <c r="B47" s="1" t="s">
        <v>966</v>
      </c>
      <c r="C47" s="1" t="s">
        <v>937</v>
      </c>
      <c r="D47" s="1" t="s">
        <v>915</v>
      </c>
      <c r="E47">
        <v>5</v>
      </c>
      <c r="F47">
        <v>4</v>
      </c>
    </row>
    <row r="48" spans="1:6" x14ac:dyDescent="0.3">
      <c r="A48" s="1" t="s">
        <v>967</v>
      </c>
      <c r="B48" s="1" t="s">
        <v>968</v>
      </c>
      <c r="C48" s="1" t="s">
        <v>937</v>
      </c>
      <c r="D48" s="1" t="s">
        <v>913</v>
      </c>
      <c r="E48">
        <v>10</v>
      </c>
      <c r="F48">
        <v>3.5</v>
      </c>
    </row>
    <row r="49" spans="1:6" x14ac:dyDescent="0.3">
      <c r="A49" s="1" t="s">
        <v>669</v>
      </c>
      <c r="B49" s="1" t="s">
        <v>969</v>
      </c>
      <c r="C49" s="1" t="s">
        <v>917</v>
      </c>
      <c r="D49" s="1" t="s">
        <v>915</v>
      </c>
      <c r="E49">
        <v>5</v>
      </c>
      <c r="F49">
        <v>4.9000000000000004</v>
      </c>
    </row>
    <row r="50" spans="1:6" x14ac:dyDescent="0.3">
      <c r="A50" s="1" t="s">
        <v>651</v>
      </c>
      <c r="B50" s="1" t="s">
        <v>970</v>
      </c>
      <c r="C50" s="1" t="s">
        <v>924</v>
      </c>
      <c r="D50" s="1" t="s">
        <v>908</v>
      </c>
      <c r="E50">
        <v>19</v>
      </c>
      <c r="F50">
        <v>3.9</v>
      </c>
    </row>
    <row r="51" spans="1:6" x14ac:dyDescent="0.3">
      <c r="A51" s="1" t="s">
        <v>689</v>
      </c>
      <c r="B51" s="1" t="s">
        <v>971</v>
      </c>
      <c r="C51" s="1" t="s">
        <v>933</v>
      </c>
      <c r="D51" s="1" t="s">
        <v>915</v>
      </c>
      <c r="E51">
        <v>20</v>
      </c>
      <c r="F51">
        <v>3.7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869B9-DD29-42EB-873B-2D848F1C5CB1}">
  <dimension ref="A1:J201"/>
  <sheetViews>
    <sheetView topLeftCell="C13" workbookViewId="0">
      <selection activeCell="K13" sqref="K13"/>
    </sheetView>
  </sheetViews>
  <sheetFormatPr defaultRowHeight="14.4" x14ac:dyDescent="0.3"/>
  <cols>
    <col min="1" max="1" width="13.21875" bestFit="1" customWidth="1"/>
    <col min="2" max="2" width="12.88671875" bestFit="1" customWidth="1"/>
    <col min="3" max="3" width="13.6640625" bestFit="1" customWidth="1"/>
    <col min="4" max="4" width="12.6640625" bestFit="1" customWidth="1"/>
    <col min="5" max="5" width="18.6640625" bestFit="1" customWidth="1"/>
    <col min="6" max="6" width="10.33203125" bestFit="1" customWidth="1"/>
    <col min="7" max="7" width="11.77734375" bestFit="1" customWidth="1"/>
    <col min="8" max="8" width="12.88671875" bestFit="1" customWidth="1"/>
    <col min="9" max="9" width="9.109375" bestFit="1" customWidth="1"/>
    <col min="10" max="10" width="16.6640625" customWidth="1"/>
  </cols>
  <sheetData>
    <row r="1" spans="1:10" x14ac:dyDescent="0.3">
      <c r="A1" t="s">
        <v>223</v>
      </c>
      <c r="B1" t="s">
        <v>635</v>
      </c>
      <c r="C1" t="s">
        <v>1</v>
      </c>
      <c r="D1" t="s">
        <v>636</v>
      </c>
      <c r="E1" t="s">
        <v>637</v>
      </c>
      <c r="F1" t="s">
        <v>638</v>
      </c>
      <c r="G1" t="s">
        <v>639</v>
      </c>
      <c r="H1" t="s">
        <v>640</v>
      </c>
      <c r="I1" t="s">
        <v>641</v>
      </c>
      <c r="J1" t="s">
        <v>1007</v>
      </c>
    </row>
    <row r="2" spans="1:10" x14ac:dyDescent="0.3">
      <c r="A2" s="1" t="s">
        <v>233</v>
      </c>
      <c r="B2" s="1" t="s">
        <v>642</v>
      </c>
      <c r="C2" s="1" t="s">
        <v>33</v>
      </c>
      <c r="D2" s="2">
        <v>46170</v>
      </c>
      <c r="E2" s="2">
        <v>46180</v>
      </c>
      <c r="F2">
        <v>315</v>
      </c>
      <c r="G2">
        <v>262</v>
      </c>
      <c r="H2">
        <v>82530</v>
      </c>
      <c r="I2" s="1" t="s">
        <v>643</v>
      </c>
      <c r="J2" t="str">
        <f>TEXT(clean_purchase_orders[[#This Row],[Order_Date]],"yyyy-mm")</f>
        <v>2026-05</v>
      </c>
    </row>
    <row r="3" spans="1:10" x14ac:dyDescent="0.3">
      <c r="A3" s="1" t="s">
        <v>236</v>
      </c>
      <c r="B3" s="1" t="s">
        <v>644</v>
      </c>
      <c r="C3" s="1" t="s">
        <v>11</v>
      </c>
      <c r="D3" s="2">
        <v>45862</v>
      </c>
      <c r="E3" s="2">
        <v>45878</v>
      </c>
      <c r="F3">
        <v>68</v>
      </c>
      <c r="G3">
        <v>69</v>
      </c>
      <c r="H3">
        <v>4692</v>
      </c>
      <c r="I3" s="1" t="s">
        <v>643</v>
      </c>
      <c r="J3" t="str">
        <f>TEXT(clean_purchase_orders[[#This Row],[Order_Date]],"yyyy-mm")</f>
        <v>2025-07</v>
      </c>
    </row>
    <row r="4" spans="1:10" x14ac:dyDescent="0.3">
      <c r="A4" s="1" t="s">
        <v>239</v>
      </c>
      <c r="B4" s="1" t="s">
        <v>645</v>
      </c>
      <c r="C4" s="1" t="s">
        <v>24</v>
      </c>
      <c r="D4" s="2">
        <v>45909</v>
      </c>
      <c r="E4" s="2">
        <v>45913</v>
      </c>
      <c r="F4">
        <v>259</v>
      </c>
      <c r="G4">
        <v>462</v>
      </c>
      <c r="H4">
        <v>119658</v>
      </c>
      <c r="I4" s="1" t="s">
        <v>646</v>
      </c>
      <c r="J4" t="str">
        <f>TEXT(clean_purchase_orders[[#This Row],[Order_Date]],"yyyy-mm")</f>
        <v>2025-09</v>
      </c>
    </row>
    <row r="5" spans="1:10" x14ac:dyDescent="0.3">
      <c r="A5" s="1" t="s">
        <v>241</v>
      </c>
      <c r="B5" s="1" t="s">
        <v>647</v>
      </c>
      <c r="C5" s="1" t="s">
        <v>46</v>
      </c>
      <c r="D5" s="2">
        <v>46010</v>
      </c>
      <c r="E5" s="2">
        <v>46016</v>
      </c>
      <c r="F5">
        <v>392</v>
      </c>
      <c r="G5">
        <v>193</v>
      </c>
      <c r="H5">
        <v>75656</v>
      </c>
      <c r="I5" s="1" t="s">
        <v>646</v>
      </c>
      <c r="J5" t="str">
        <f>TEXT(clean_purchase_orders[[#This Row],[Order_Date]],"yyyy-mm")</f>
        <v>2025-12</v>
      </c>
    </row>
    <row r="6" spans="1:10" x14ac:dyDescent="0.3">
      <c r="A6" s="1" t="s">
        <v>243</v>
      </c>
      <c r="B6" s="1" t="s">
        <v>644</v>
      </c>
      <c r="C6" s="1" t="s">
        <v>28</v>
      </c>
      <c r="D6" s="2">
        <v>46092</v>
      </c>
      <c r="E6" s="2">
        <v>46099</v>
      </c>
      <c r="F6">
        <v>294</v>
      </c>
      <c r="G6">
        <v>249</v>
      </c>
      <c r="H6">
        <v>73206</v>
      </c>
      <c r="I6" s="1" t="s">
        <v>646</v>
      </c>
      <c r="J6" t="str">
        <f>TEXT(clean_purchase_orders[[#This Row],[Order_Date]],"yyyy-mm")</f>
        <v>2026-03</v>
      </c>
    </row>
    <row r="7" spans="1:10" x14ac:dyDescent="0.3">
      <c r="A7" s="1" t="s">
        <v>245</v>
      </c>
      <c r="B7" s="1" t="s">
        <v>648</v>
      </c>
      <c r="C7" s="1" t="s">
        <v>33</v>
      </c>
      <c r="D7" s="2">
        <v>46145</v>
      </c>
      <c r="E7" s="2">
        <v>46150</v>
      </c>
      <c r="F7">
        <v>256</v>
      </c>
      <c r="G7">
        <v>147</v>
      </c>
      <c r="H7">
        <v>37632</v>
      </c>
      <c r="I7" s="1" t="s">
        <v>649</v>
      </c>
      <c r="J7" t="str">
        <f>TEXT(clean_purchase_orders[[#This Row],[Order_Date]],"yyyy-mm")</f>
        <v>2026-05</v>
      </c>
    </row>
    <row r="8" spans="1:10" x14ac:dyDescent="0.3">
      <c r="A8" s="1" t="s">
        <v>247</v>
      </c>
      <c r="B8" s="1" t="s">
        <v>650</v>
      </c>
      <c r="C8" s="1" t="s">
        <v>16</v>
      </c>
      <c r="D8" s="2">
        <v>45958</v>
      </c>
      <c r="E8" s="2">
        <v>45978</v>
      </c>
      <c r="F8">
        <v>45</v>
      </c>
      <c r="G8">
        <v>353</v>
      </c>
      <c r="H8">
        <v>15885</v>
      </c>
      <c r="I8" s="1" t="s">
        <v>646</v>
      </c>
      <c r="J8" t="str">
        <f>TEXT(clean_purchase_orders[[#This Row],[Order_Date]],"yyyy-mm")</f>
        <v>2025-10</v>
      </c>
    </row>
    <row r="9" spans="1:10" x14ac:dyDescent="0.3">
      <c r="A9" s="1" t="s">
        <v>249</v>
      </c>
      <c r="B9" s="1" t="s">
        <v>651</v>
      </c>
      <c r="C9" s="1" t="s">
        <v>28</v>
      </c>
      <c r="D9" s="2">
        <v>46010</v>
      </c>
      <c r="E9" s="2">
        <v>46018</v>
      </c>
      <c r="F9">
        <v>454</v>
      </c>
      <c r="G9">
        <v>141</v>
      </c>
      <c r="H9">
        <v>64014</v>
      </c>
      <c r="I9" s="1" t="s">
        <v>643</v>
      </c>
      <c r="J9" t="str">
        <f>TEXT(clean_purchase_orders[[#This Row],[Order_Date]],"yyyy-mm")</f>
        <v>2025-12</v>
      </c>
    </row>
    <row r="10" spans="1:10" x14ac:dyDescent="0.3">
      <c r="A10" s="1" t="s">
        <v>251</v>
      </c>
      <c r="B10" s="1" t="s">
        <v>652</v>
      </c>
      <c r="C10" s="1" t="s">
        <v>16</v>
      </c>
      <c r="D10" s="2">
        <v>45928</v>
      </c>
      <c r="E10" s="2">
        <v>45943</v>
      </c>
      <c r="F10">
        <v>129</v>
      </c>
      <c r="G10">
        <v>462</v>
      </c>
      <c r="H10">
        <v>59598</v>
      </c>
      <c r="I10" s="1" t="s">
        <v>646</v>
      </c>
      <c r="J10" t="str">
        <f>TEXT(clean_purchase_orders[[#This Row],[Order_Date]],"yyyy-mm")</f>
        <v>2025-09</v>
      </c>
    </row>
    <row r="11" spans="1:10" x14ac:dyDescent="0.3">
      <c r="A11" s="1" t="s">
        <v>254</v>
      </c>
      <c r="B11" s="1" t="s">
        <v>653</v>
      </c>
      <c r="C11" s="1" t="s">
        <v>33</v>
      </c>
      <c r="D11" s="2">
        <v>46114</v>
      </c>
      <c r="E11" s="2">
        <v>46125</v>
      </c>
      <c r="F11">
        <v>21</v>
      </c>
      <c r="G11">
        <v>219</v>
      </c>
      <c r="H11">
        <v>4599</v>
      </c>
      <c r="I11" s="1" t="s">
        <v>643</v>
      </c>
      <c r="J11" t="str">
        <f>TEXT(clean_purchase_orders[[#This Row],[Order_Date]],"yyyy-mm")</f>
        <v>2026-04</v>
      </c>
    </row>
    <row r="12" spans="1:10" x14ac:dyDescent="0.3">
      <c r="A12" s="1" t="s">
        <v>256</v>
      </c>
      <c r="B12" s="1" t="s">
        <v>654</v>
      </c>
      <c r="C12" s="1" t="s">
        <v>33</v>
      </c>
      <c r="D12" s="2">
        <v>46024</v>
      </c>
      <c r="E12" s="2">
        <v>46044</v>
      </c>
      <c r="F12">
        <v>376</v>
      </c>
      <c r="G12">
        <v>394</v>
      </c>
      <c r="H12">
        <v>148144</v>
      </c>
      <c r="I12" s="1" t="s">
        <v>646</v>
      </c>
      <c r="J12" t="str">
        <f>TEXT(clean_purchase_orders[[#This Row],[Order_Date]],"yyyy-mm")</f>
        <v>2026-01</v>
      </c>
    </row>
    <row r="13" spans="1:10" x14ac:dyDescent="0.3">
      <c r="A13" s="1" t="s">
        <v>258</v>
      </c>
      <c r="B13" s="1" t="s">
        <v>644</v>
      </c>
      <c r="C13" s="1" t="s">
        <v>14</v>
      </c>
      <c r="D13" s="2">
        <v>46134</v>
      </c>
      <c r="E13" s="2">
        <v>46138</v>
      </c>
      <c r="F13">
        <v>171</v>
      </c>
      <c r="G13">
        <v>131</v>
      </c>
      <c r="H13">
        <v>22401</v>
      </c>
      <c r="I13" s="1" t="s">
        <v>649</v>
      </c>
      <c r="J13" t="str">
        <f>TEXT(clean_purchase_orders[[#This Row],[Order_Date]],"yyyy-mm")</f>
        <v>2026-04</v>
      </c>
    </row>
    <row r="14" spans="1:10" x14ac:dyDescent="0.3">
      <c r="A14" s="1" t="s">
        <v>260</v>
      </c>
      <c r="B14" s="1" t="s">
        <v>655</v>
      </c>
      <c r="C14" s="1" t="s">
        <v>16</v>
      </c>
      <c r="D14" s="2">
        <v>45892</v>
      </c>
      <c r="E14" s="2">
        <v>45905</v>
      </c>
      <c r="F14">
        <v>51</v>
      </c>
      <c r="G14">
        <v>402</v>
      </c>
      <c r="H14">
        <v>20502</v>
      </c>
      <c r="I14" s="1" t="s">
        <v>646</v>
      </c>
      <c r="J14" t="str">
        <f>TEXT(clean_purchase_orders[[#This Row],[Order_Date]],"yyyy-mm")</f>
        <v>2025-08</v>
      </c>
    </row>
    <row r="15" spans="1:10" x14ac:dyDescent="0.3">
      <c r="A15" s="1" t="s">
        <v>262</v>
      </c>
      <c r="B15" s="1" t="s">
        <v>656</v>
      </c>
      <c r="C15" s="1" t="s">
        <v>30</v>
      </c>
      <c r="D15" s="2">
        <v>46096</v>
      </c>
      <c r="E15" s="2">
        <v>46115</v>
      </c>
      <c r="F15">
        <v>264</v>
      </c>
      <c r="G15">
        <v>277</v>
      </c>
      <c r="H15">
        <v>73128</v>
      </c>
      <c r="I15" s="1" t="s">
        <v>646</v>
      </c>
      <c r="J15" t="str">
        <f>TEXT(clean_purchase_orders[[#This Row],[Order_Date]],"yyyy-mm")</f>
        <v>2026-03</v>
      </c>
    </row>
    <row r="16" spans="1:10" x14ac:dyDescent="0.3">
      <c r="A16" s="1" t="s">
        <v>264</v>
      </c>
      <c r="B16" s="1" t="s">
        <v>657</v>
      </c>
      <c r="C16" s="1" t="s">
        <v>24</v>
      </c>
      <c r="D16" s="2">
        <v>46011</v>
      </c>
      <c r="E16" s="2">
        <v>46019</v>
      </c>
      <c r="F16">
        <v>61</v>
      </c>
      <c r="G16">
        <v>455</v>
      </c>
      <c r="H16">
        <v>27755</v>
      </c>
      <c r="I16" s="1" t="s">
        <v>649</v>
      </c>
      <c r="J16" t="str">
        <f>TEXT(clean_purchase_orders[[#This Row],[Order_Date]],"yyyy-mm")</f>
        <v>2025-12</v>
      </c>
    </row>
    <row r="17" spans="1:10" x14ac:dyDescent="0.3">
      <c r="A17" s="1" t="s">
        <v>266</v>
      </c>
      <c r="B17" s="1" t="s">
        <v>658</v>
      </c>
      <c r="C17" s="1" t="s">
        <v>28</v>
      </c>
      <c r="D17" s="2">
        <v>46158</v>
      </c>
      <c r="E17" s="2">
        <v>46168</v>
      </c>
      <c r="F17">
        <v>365</v>
      </c>
      <c r="G17">
        <v>461</v>
      </c>
      <c r="H17">
        <v>168265</v>
      </c>
      <c r="I17" s="1" t="s">
        <v>646</v>
      </c>
      <c r="J17" t="str">
        <f>TEXT(clean_purchase_orders[[#This Row],[Order_Date]],"yyyy-mm")</f>
        <v>2026-05</v>
      </c>
    </row>
    <row r="18" spans="1:10" x14ac:dyDescent="0.3">
      <c r="A18" s="1" t="s">
        <v>268</v>
      </c>
      <c r="B18" s="1" t="s">
        <v>642</v>
      </c>
      <c r="C18" s="1" t="s">
        <v>14</v>
      </c>
      <c r="D18" s="2">
        <v>46063</v>
      </c>
      <c r="E18" s="2">
        <v>46067</v>
      </c>
      <c r="F18">
        <v>146</v>
      </c>
      <c r="G18">
        <v>316</v>
      </c>
      <c r="H18">
        <v>46136</v>
      </c>
      <c r="I18" s="1" t="s">
        <v>646</v>
      </c>
      <c r="J18" t="str">
        <f>TEXT(clean_purchase_orders[[#This Row],[Order_Date]],"yyyy-mm")</f>
        <v>2026-02</v>
      </c>
    </row>
    <row r="19" spans="1:10" x14ac:dyDescent="0.3">
      <c r="A19" s="1" t="s">
        <v>270</v>
      </c>
      <c r="B19" s="1" t="s">
        <v>645</v>
      </c>
      <c r="C19" s="1" t="s">
        <v>11</v>
      </c>
      <c r="D19" s="2">
        <v>45991</v>
      </c>
      <c r="E19" s="2">
        <v>46010</v>
      </c>
      <c r="F19">
        <v>356</v>
      </c>
      <c r="G19">
        <v>318</v>
      </c>
      <c r="H19">
        <v>113208</v>
      </c>
      <c r="I19" s="1" t="s">
        <v>643</v>
      </c>
      <c r="J19" t="str">
        <f>TEXT(clean_purchase_orders[[#This Row],[Order_Date]],"yyyy-mm")</f>
        <v>2025-11</v>
      </c>
    </row>
    <row r="20" spans="1:10" x14ac:dyDescent="0.3">
      <c r="A20" s="1" t="s">
        <v>272</v>
      </c>
      <c r="B20" s="1" t="s">
        <v>659</v>
      </c>
      <c r="C20" s="1" t="s">
        <v>46</v>
      </c>
      <c r="D20" s="2">
        <v>45955</v>
      </c>
      <c r="E20" s="2">
        <v>45968</v>
      </c>
      <c r="F20">
        <v>362</v>
      </c>
      <c r="G20">
        <v>386</v>
      </c>
      <c r="H20">
        <v>139732</v>
      </c>
      <c r="I20" s="1" t="s">
        <v>643</v>
      </c>
      <c r="J20" t="str">
        <f>TEXT(clean_purchase_orders[[#This Row],[Order_Date]],"yyyy-mm")</f>
        <v>2025-10</v>
      </c>
    </row>
    <row r="21" spans="1:10" x14ac:dyDescent="0.3">
      <c r="A21" s="1" t="s">
        <v>274</v>
      </c>
      <c r="B21" s="1" t="s">
        <v>647</v>
      </c>
      <c r="C21" s="1" t="s">
        <v>33</v>
      </c>
      <c r="D21" s="2">
        <v>46030</v>
      </c>
      <c r="E21" s="2">
        <v>46042</v>
      </c>
      <c r="F21">
        <v>87</v>
      </c>
      <c r="G21">
        <v>363</v>
      </c>
      <c r="H21">
        <v>31581</v>
      </c>
      <c r="I21" s="1" t="s">
        <v>643</v>
      </c>
      <c r="J21" t="str">
        <f>TEXT(clean_purchase_orders[[#This Row],[Order_Date]],"yyyy-mm")</f>
        <v>2026-01</v>
      </c>
    </row>
    <row r="22" spans="1:10" x14ac:dyDescent="0.3">
      <c r="A22" s="1" t="s">
        <v>276</v>
      </c>
      <c r="B22" s="1" t="s">
        <v>651</v>
      </c>
      <c r="C22" s="1" t="s">
        <v>33</v>
      </c>
      <c r="D22" s="2">
        <v>45854</v>
      </c>
      <c r="E22" s="2">
        <v>45857</v>
      </c>
      <c r="F22">
        <v>499</v>
      </c>
      <c r="G22">
        <v>57</v>
      </c>
      <c r="H22">
        <v>28443</v>
      </c>
      <c r="I22" s="1" t="s">
        <v>649</v>
      </c>
      <c r="J22" t="str">
        <f>TEXT(clean_purchase_orders[[#This Row],[Order_Date]],"yyyy-mm")</f>
        <v>2025-07</v>
      </c>
    </row>
    <row r="23" spans="1:10" x14ac:dyDescent="0.3">
      <c r="A23" s="1" t="s">
        <v>278</v>
      </c>
      <c r="B23" s="1" t="s">
        <v>642</v>
      </c>
      <c r="C23" s="1" t="s">
        <v>46</v>
      </c>
      <c r="D23" s="2">
        <v>46049</v>
      </c>
      <c r="E23" s="2">
        <v>46069</v>
      </c>
      <c r="F23">
        <v>71</v>
      </c>
      <c r="G23">
        <v>57</v>
      </c>
      <c r="H23">
        <v>4047</v>
      </c>
      <c r="I23" s="1" t="s">
        <v>649</v>
      </c>
      <c r="J23" t="str">
        <f>TEXT(clean_purchase_orders[[#This Row],[Order_Date]],"yyyy-mm")</f>
        <v>2026-01</v>
      </c>
    </row>
    <row r="24" spans="1:10" x14ac:dyDescent="0.3">
      <c r="A24" s="1" t="s">
        <v>280</v>
      </c>
      <c r="B24" s="1" t="s">
        <v>660</v>
      </c>
      <c r="C24" s="1" t="s">
        <v>24</v>
      </c>
      <c r="D24" s="2">
        <v>46087</v>
      </c>
      <c r="E24" s="2">
        <v>46101</v>
      </c>
      <c r="F24">
        <v>87</v>
      </c>
      <c r="G24">
        <v>497</v>
      </c>
      <c r="H24">
        <v>43239</v>
      </c>
      <c r="I24" s="1" t="s">
        <v>646</v>
      </c>
      <c r="J24" t="str">
        <f>TEXT(clean_purchase_orders[[#This Row],[Order_Date]],"yyyy-mm")</f>
        <v>2026-03</v>
      </c>
    </row>
    <row r="25" spans="1:10" x14ac:dyDescent="0.3">
      <c r="A25" s="1" t="s">
        <v>282</v>
      </c>
      <c r="B25" s="1" t="s">
        <v>661</v>
      </c>
      <c r="C25" s="1" t="s">
        <v>8</v>
      </c>
      <c r="D25" s="2">
        <v>45970</v>
      </c>
      <c r="E25" s="2">
        <v>45987</v>
      </c>
      <c r="F25">
        <v>165</v>
      </c>
      <c r="G25">
        <v>100</v>
      </c>
      <c r="H25">
        <v>16500</v>
      </c>
      <c r="I25" s="1" t="s">
        <v>649</v>
      </c>
      <c r="J25" t="str">
        <f>TEXT(clean_purchase_orders[[#This Row],[Order_Date]],"yyyy-mm")</f>
        <v>2025-11</v>
      </c>
    </row>
    <row r="26" spans="1:10" x14ac:dyDescent="0.3">
      <c r="A26" s="1" t="s">
        <v>284</v>
      </c>
      <c r="B26" s="1" t="s">
        <v>662</v>
      </c>
      <c r="C26" s="1" t="s">
        <v>16</v>
      </c>
      <c r="D26" s="2">
        <v>46066</v>
      </c>
      <c r="E26" s="2">
        <v>46085</v>
      </c>
      <c r="F26">
        <v>333</v>
      </c>
      <c r="G26">
        <v>433</v>
      </c>
      <c r="H26">
        <v>144189</v>
      </c>
      <c r="I26" s="1" t="s">
        <v>649</v>
      </c>
      <c r="J26" t="str">
        <f>TEXT(clean_purchase_orders[[#This Row],[Order_Date]],"yyyy-mm")</f>
        <v>2026-02</v>
      </c>
    </row>
    <row r="27" spans="1:10" x14ac:dyDescent="0.3">
      <c r="A27" s="1" t="s">
        <v>286</v>
      </c>
      <c r="B27" s="1" t="s">
        <v>663</v>
      </c>
      <c r="C27" s="1" t="s">
        <v>30</v>
      </c>
      <c r="D27" s="2">
        <v>46136</v>
      </c>
      <c r="E27" s="2">
        <v>46142</v>
      </c>
      <c r="F27">
        <v>173</v>
      </c>
      <c r="G27">
        <v>497</v>
      </c>
      <c r="H27">
        <v>85981</v>
      </c>
      <c r="I27" s="1" t="s">
        <v>643</v>
      </c>
      <c r="J27" t="str">
        <f>TEXT(clean_purchase_orders[[#This Row],[Order_Date]],"yyyy-mm")</f>
        <v>2026-04</v>
      </c>
    </row>
    <row r="28" spans="1:10" x14ac:dyDescent="0.3">
      <c r="A28" s="1" t="s">
        <v>288</v>
      </c>
      <c r="B28" s="1" t="s">
        <v>664</v>
      </c>
      <c r="C28" s="1" t="s">
        <v>30</v>
      </c>
      <c r="D28" s="2">
        <v>45993</v>
      </c>
      <c r="E28" s="2">
        <v>46013</v>
      </c>
      <c r="F28">
        <v>475</v>
      </c>
      <c r="G28">
        <v>74</v>
      </c>
      <c r="H28">
        <v>35150</v>
      </c>
      <c r="I28" s="1" t="s">
        <v>643</v>
      </c>
      <c r="J28" t="str">
        <f>TEXT(clean_purchase_orders[[#This Row],[Order_Date]],"yyyy-mm")</f>
        <v>2025-12</v>
      </c>
    </row>
    <row r="29" spans="1:10" x14ac:dyDescent="0.3">
      <c r="A29" s="1" t="s">
        <v>290</v>
      </c>
      <c r="B29" s="1" t="s">
        <v>665</v>
      </c>
      <c r="C29" s="1" t="s">
        <v>46</v>
      </c>
      <c r="D29" s="2">
        <v>45904</v>
      </c>
      <c r="E29" s="2">
        <v>45917</v>
      </c>
      <c r="F29">
        <v>329</v>
      </c>
      <c r="G29">
        <v>127</v>
      </c>
      <c r="H29">
        <v>41783</v>
      </c>
      <c r="I29" s="1" t="s">
        <v>649</v>
      </c>
      <c r="J29" t="str">
        <f>TEXT(clean_purchase_orders[[#This Row],[Order_Date]],"yyyy-mm")</f>
        <v>2025-09</v>
      </c>
    </row>
    <row r="30" spans="1:10" x14ac:dyDescent="0.3">
      <c r="A30" s="1" t="s">
        <v>292</v>
      </c>
      <c r="B30" s="1" t="s">
        <v>666</v>
      </c>
      <c r="C30" s="1" t="s">
        <v>33</v>
      </c>
      <c r="D30" s="2">
        <v>45864</v>
      </c>
      <c r="E30" s="2">
        <v>45883</v>
      </c>
      <c r="F30">
        <v>456</v>
      </c>
      <c r="G30">
        <v>155</v>
      </c>
      <c r="H30">
        <v>70680</v>
      </c>
      <c r="I30" s="1" t="s">
        <v>643</v>
      </c>
      <c r="J30" t="str">
        <f>TEXT(clean_purchase_orders[[#This Row],[Order_Date]],"yyyy-mm")</f>
        <v>2025-07</v>
      </c>
    </row>
    <row r="31" spans="1:10" x14ac:dyDescent="0.3">
      <c r="A31" s="1" t="s">
        <v>294</v>
      </c>
      <c r="B31" s="1" t="s">
        <v>667</v>
      </c>
      <c r="C31" s="1" t="s">
        <v>19</v>
      </c>
      <c r="D31" s="2">
        <v>45951</v>
      </c>
      <c r="E31" s="2">
        <v>45967</v>
      </c>
      <c r="F31">
        <v>67</v>
      </c>
      <c r="G31">
        <v>344</v>
      </c>
      <c r="H31">
        <v>23048</v>
      </c>
      <c r="I31" s="1" t="s">
        <v>646</v>
      </c>
      <c r="J31" t="str">
        <f>TEXT(clean_purchase_orders[[#This Row],[Order_Date]],"yyyy-mm")</f>
        <v>2025-10</v>
      </c>
    </row>
    <row r="32" spans="1:10" x14ac:dyDescent="0.3">
      <c r="A32" s="1" t="s">
        <v>296</v>
      </c>
      <c r="B32" s="1" t="s">
        <v>668</v>
      </c>
      <c r="C32" s="1" t="s">
        <v>19</v>
      </c>
      <c r="D32" s="2">
        <v>45921</v>
      </c>
      <c r="E32" s="2">
        <v>45928</v>
      </c>
      <c r="F32">
        <v>190</v>
      </c>
      <c r="G32">
        <v>414</v>
      </c>
      <c r="H32">
        <v>78660</v>
      </c>
      <c r="I32" s="1" t="s">
        <v>646</v>
      </c>
      <c r="J32" t="str">
        <f>TEXT(clean_purchase_orders[[#This Row],[Order_Date]],"yyyy-mm")</f>
        <v>2025-09</v>
      </c>
    </row>
    <row r="33" spans="1:10" x14ac:dyDescent="0.3">
      <c r="A33" s="1" t="s">
        <v>298</v>
      </c>
      <c r="B33" s="1" t="s">
        <v>669</v>
      </c>
      <c r="C33" s="1" t="s">
        <v>8</v>
      </c>
      <c r="D33" s="2">
        <v>46060</v>
      </c>
      <c r="E33" s="2">
        <v>46076</v>
      </c>
      <c r="F33">
        <v>246</v>
      </c>
      <c r="G33">
        <v>302</v>
      </c>
      <c r="H33">
        <v>74292</v>
      </c>
      <c r="I33" s="1" t="s">
        <v>646</v>
      </c>
      <c r="J33" t="str">
        <f>TEXT(clean_purchase_orders[[#This Row],[Order_Date]],"yyyy-mm")</f>
        <v>2026-02</v>
      </c>
    </row>
    <row r="34" spans="1:10" x14ac:dyDescent="0.3">
      <c r="A34" s="1" t="s">
        <v>300</v>
      </c>
      <c r="B34" s="1" t="s">
        <v>664</v>
      </c>
      <c r="C34" s="1" t="s">
        <v>8</v>
      </c>
      <c r="D34" s="2">
        <v>46033</v>
      </c>
      <c r="E34" s="2">
        <v>46040</v>
      </c>
      <c r="F34">
        <v>58</v>
      </c>
      <c r="G34">
        <v>472</v>
      </c>
      <c r="H34">
        <v>27376</v>
      </c>
      <c r="I34" s="1" t="s">
        <v>646</v>
      </c>
      <c r="J34" t="str">
        <f>TEXT(clean_purchase_orders[[#This Row],[Order_Date]],"yyyy-mm")</f>
        <v>2026-01</v>
      </c>
    </row>
    <row r="35" spans="1:10" x14ac:dyDescent="0.3">
      <c r="A35" s="1" t="s">
        <v>302</v>
      </c>
      <c r="B35" s="1" t="s">
        <v>661</v>
      </c>
      <c r="C35" s="1" t="s">
        <v>28</v>
      </c>
      <c r="D35" s="2">
        <v>45924</v>
      </c>
      <c r="E35" s="2">
        <v>45931</v>
      </c>
      <c r="F35">
        <v>318</v>
      </c>
      <c r="G35">
        <v>302</v>
      </c>
      <c r="H35">
        <v>96036</v>
      </c>
      <c r="I35" s="1" t="s">
        <v>646</v>
      </c>
      <c r="J35" t="str">
        <f>TEXT(clean_purchase_orders[[#This Row],[Order_Date]],"yyyy-mm")</f>
        <v>2025-09</v>
      </c>
    </row>
    <row r="36" spans="1:10" x14ac:dyDescent="0.3">
      <c r="A36" s="1" t="s">
        <v>304</v>
      </c>
      <c r="B36" s="1" t="s">
        <v>670</v>
      </c>
      <c r="C36" s="1" t="s">
        <v>11</v>
      </c>
      <c r="D36" s="2">
        <v>46110</v>
      </c>
      <c r="E36" s="2">
        <v>46114</v>
      </c>
      <c r="F36">
        <v>177</v>
      </c>
      <c r="G36">
        <v>206</v>
      </c>
      <c r="H36">
        <v>36462</v>
      </c>
      <c r="I36" s="1" t="s">
        <v>646</v>
      </c>
      <c r="J36" t="str">
        <f>TEXT(clean_purchase_orders[[#This Row],[Order_Date]],"yyyy-mm")</f>
        <v>2026-03</v>
      </c>
    </row>
    <row r="37" spans="1:10" x14ac:dyDescent="0.3">
      <c r="A37" s="1" t="s">
        <v>306</v>
      </c>
      <c r="B37" s="1" t="s">
        <v>671</v>
      </c>
      <c r="C37" s="1" t="s">
        <v>11</v>
      </c>
      <c r="D37" s="2">
        <v>46031</v>
      </c>
      <c r="E37" s="2">
        <v>46037</v>
      </c>
      <c r="F37">
        <v>147</v>
      </c>
      <c r="G37">
        <v>361</v>
      </c>
      <c r="H37">
        <v>53067</v>
      </c>
      <c r="I37" s="1" t="s">
        <v>649</v>
      </c>
      <c r="J37" t="str">
        <f>TEXT(clean_purchase_orders[[#This Row],[Order_Date]],"yyyy-mm")</f>
        <v>2026-01</v>
      </c>
    </row>
    <row r="38" spans="1:10" x14ac:dyDescent="0.3">
      <c r="A38" s="1" t="s">
        <v>308</v>
      </c>
      <c r="B38" s="1" t="s">
        <v>645</v>
      </c>
      <c r="C38" s="1" t="s">
        <v>46</v>
      </c>
      <c r="D38" s="2">
        <v>46147</v>
      </c>
      <c r="E38" s="2">
        <v>46154</v>
      </c>
      <c r="F38">
        <v>337</v>
      </c>
      <c r="G38">
        <v>403</v>
      </c>
      <c r="H38">
        <v>135811</v>
      </c>
      <c r="I38" s="1" t="s">
        <v>646</v>
      </c>
      <c r="J38" t="str">
        <f>TEXT(clean_purchase_orders[[#This Row],[Order_Date]],"yyyy-mm")</f>
        <v>2026-05</v>
      </c>
    </row>
    <row r="39" spans="1:10" x14ac:dyDescent="0.3">
      <c r="A39" s="1" t="s">
        <v>310</v>
      </c>
      <c r="B39" s="1" t="s">
        <v>672</v>
      </c>
      <c r="C39" s="1" t="s">
        <v>30</v>
      </c>
      <c r="D39" s="2">
        <v>45954</v>
      </c>
      <c r="E39" s="2">
        <v>45957</v>
      </c>
      <c r="F39">
        <v>471</v>
      </c>
      <c r="G39">
        <v>231</v>
      </c>
      <c r="H39">
        <v>108801</v>
      </c>
      <c r="I39" s="1" t="s">
        <v>649</v>
      </c>
      <c r="J39" t="str">
        <f>TEXT(clean_purchase_orders[[#This Row],[Order_Date]],"yyyy-mm")</f>
        <v>2025-10</v>
      </c>
    </row>
    <row r="40" spans="1:10" x14ac:dyDescent="0.3">
      <c r="A40" s="1" t="s">
        <v>312</v>
      </c>
      <c r="B40" s="1" t="s">
        <v>673</v>
      </c>
      <c r="C40" s="1" t="s">
        <v>46</v>
      </c>
      <c r="D40" s="2">
        <v>46076</v>
      </c>
      <c r="E40" s="2">
        <v>46092</v>
      </c>
      <c r="F40">
        <v>420</v>
      </c>
      <c r="G40">
        <v>496</v>
      </c>
      <c r="H40">
        <v>208320</v>
      </c>
      <c r="I40" s="1" t="s">
        <v>643</v>
      </c>
      <c r="J40" t="str">
        <f>TEXT(clean_purchase_orders[[#This Row],[Order_Date]],"yyyy-mm")</f>
        <v>2026-02</v>
      </c>
    </row>
    <row r="41" spans="1:10" x14ac:dyDescent="0.3">
      <c r="A41" s="1" t="s">
        <v>314</v>
      </c>
      <c r="B41" s="1" t="s">
        <v>674</v>
      </c>
      <c r="C41" s="1" t="s">
        <v>28</v>
      </c>
      <c r="D41" s="2">
        <v>46046</v>
      </c>
      <c r="E41" s="2">
        <v>46052</v>
      </c>
      <c r="F41">
        <v>423</v>
      </c>
      <c r="G41">
        <v>379</v>
      </c>
      <c r="H41">
        <v>160317</v>
      </c>
      <c r="I41" s="1" t="s">
        <v>646</v>
      </c>
      <c r="J41" t="str">
        <f>TEXT(clean_purchase_orders[[#This Row],[Order_Date]],"yyyy-mm")</f>
        <v>2026-01</v>
      </c>
    </row>
    <row r="42" spans="1:10" x14ac:dyDescent="0.3">
      <c r="A42" s="1" t="s">
        <v>316</v>
      </c>
      <c r="B42" s="1" t="s">
        <v>652</v>
      </c>
      <c r="C42" s="1" t="s">
        <v>11</v>
      </c>
      <c r="D42" s="2">
        <v>46026</v>
      </c>
      <c r="E42" s="2">
        <v>46043</v>
      </c>
      <c r="F42">
        <v>133</v>
      </c>
      <c r="G42">
        <v>122</v>
      </c>
      <c r="H42">
        <v>16226</v>
      </c>
      <c r="I42" s="1" t="s">
        <v>643</v>
      </c>
      <c r="J42" t="str">
        <f>TEXT(clean_purchase_orders[[#This Row],[Order_Date]],"yyyy-mm")</f>
        <v>2026-01</v>
      </c>
    </row>
    <row r="43" spans="1:10" x14ac:dyDescent="0.3">
      <c r="A43" s="1" t="s">
        <v>318</v>
      </c>
      <c r="B43" s="1" t="s">
        <v>675</v>
      </c>
      <c r="C43" s="1" t="s">
        <v>28</v>
      </c>
      <c r="D43" s="2">
        <v>46163</v>
      </c>
      <c r="E43" s="2">
        <v>46172</v>
      </c>
      <c r="F43">
        <v>134</v>
      </c>
      <c r="G43">
        <v>32</v>
      </c>
      <c r="H43">
        <v>4288</v>
      </c>
      <c r="I43" s="1" t="s">
        <v>643</v>
      </c>
      <c r="J43" t="str">
        <f>TEXT(clean_purchase_orders[[#This Row],[Order_Date]],"yyyy-mm")</f>
        <v>2026-05</v>
      </c>
    </row>
    <row r="44" spans="1:10" x14ac:dyDescent="0.3">
      <c r="A44" s="1" t="s">
        <v>320</v>
      </c>
      <c r="B44" s="1" t="s">
        <v>648</v>
      </c>
      <c r="C44" s="1" t="s">
        <v>11</v>
      </c>
      <c r="D44" s="2">
        <v>46061</v>
      </c>
      <c r="E44" s="2">
        <v>46072</v>
      </c>
      <c r="F44">
        <v>462</v>
      </c>
      <c r="G44">
        <v>55</v>
      </c>
      <c r="H44">
        <v>25410</v>
      </c>
      <c r="I44" s="1" t="s">
        <v>649</v>
      </c>
      <c r="J44" t="str">
        <f>TEXT(clean_purchase_orders[[#This Row],[Order_Date]],"yyyy-mm")</f>
        <v>2026-02</v>
      </c>
    </row>
    <row r="45" spans="1:10" x14ac:dyDescent="0.3">
      <c r="A45" s="1" t="s">
        <v>322</v>
      </c>
      <c r="B45" s="1" t="s">
        <v>657</v>
      </c>
      <c r="C45" s="1" t="s">
        <v>11</v>
      </c>
      <c r="D45" s="2">
        <v>46115</v>
      </c>
      <c r="E45" s="2">
        <v>46135</v>
      </c>
      <c r="F45">
        <v>224</v>
      </c>
      <c r="G45">
        <v>367</v>
      </c>
      <c r="H45">
        <v>82208</v>
      </c>
      <c r="I45" s="1" t="s">
        <v>646</v>
      </c>
      <c r="J45" t="str">
        <f>TEXT(clean_purchase_orders[[#This Row],[Order_Date]],"yyyy-mm")</f>
        <v>2026-04</v>
      </c>
    </row>
    <row r="46" spans="1:10" x14ac:dyDescent="0.3">
      <c r="A46" s="1" t="s">
        <v>324</v>
      </c>
      <c r="B46" s="1" t="s">
        <v>664</v>
      </c>
      <c r="C46" s="1" t="s">
        <v>14</v>
      </c>
      <c r="D46" s="2">
        <v>45978</v>
      </c>
      <c r="E46" s="2">
        <v>45986</v>
      </c>
      <c r="F46">
        <v>469</v>
      </c>
      <c r="G46">
        <v>153</v>
      </c>
      <c r="H46">
        <v>71757</v>
      </c>
      <c r="I46" s="1" t="s">
        <v>643</v>
      </c>
      <c r="J46" t="str">
        <f>TEXT(clean_purchase_orders[[#This Row],[Order_Date]],"yyyy-mm")</f>
        <v>2025-11</v>
      </c>
    </row>
    <row r="47" spans="1:10" x14ac:dyDescent="0.3">
      <c r="A47" s="1" t="s">
        <v>326</v>
      </c>
      <c r="B47" s="1" t="s">
        <v>670</v>
      </c>
      <c r="C47" s="1" t="s">
        <v>11</v>
      </c>
      <c r="D47" s="2">
        <v>46042</v>
      </c>
      <c r="E47" s="2">
        <v>46058</v>
      </c>
      <c r="F47">
        <v>75</v>
      </c>
      <c r="G47">
        <v>325</v>
      </c>
      <c r="H47">
        <v>24375</v>
      </c>
      <c r="I47" s="1" t="s">
        <v>649</v>
      </c>
      <c r="J47" t="str">
        <f>TEXT(clean_purchase_orders[[#This Row],[Order_Date]],"yyyy-mm")</f>
        <v>2026-01</v>
      </c>
    </row>
    <row r="48" spans="1:10" x14ac:dyDescent="0.3">
      <c r="A48" s="1" t="s">
        <v>328</v>
      </c>
      <c r="B48" s="1" t="s">
        <v>676</v>
      </c>
      <c r="C48" s="1" t="s">
        <v>24</v>
      </c>
      <c r="D48" s="2">
        <v>45946</v>
      </c>
      <c r="E48" s="2">
        <v>45965</v>
      </c>
      <c r="F48">
        <v>243</v>
      </c>
      <c r="G48">
        <v>330</v>
      </c>
      <c r="H48">
        <v>80190</v>
      </c>
      <c r="I48" s="1" t="s">
        <v>643</v>
      </c>
      <c r="J48" t="str">
        <f>TEXT(clean_purchase_orders[[#This Row],[Order_Date]],"yyyy-mm")</f>
        <v>2025-10</v>
      </c>
    </row>
    <row r="49" spans="1:10" x14ac:dyDescent="0.3">
      <c r="A49" s="1" t="s">
        <v>330</v>
      </c>
      <c r="B49" s="1" t="s">
        <v>642</v>
      </c>
      <c r="C49" s="1" t="s">
        <v>28</v>
      </c>
      <c r="D49" s="2">
        <v>46204</v>
      </c>
      <c r="E49" s="2">
        <v>46208</v>
      </c>
      <c r="F49">
        <v>117</v>
      </c>
      <c r="G49">
        <v>150</v>
      </c>
      <c r="H49">
        <v>17550</v>
      </c>
      <c r="I49" s="1" t="s">
        <v>646</v>
      </c>
      <c r="J49" t="str">
        <f>TEXT(clean_purchase_orders[[#This Row],[Order_Date]],"yyyy-mm")</f>
        <v>2026-07</v>
      </c>
    </row>
    <row r="50" spans="1:10" x14ac:dyDescent="0.3">
      <c r="A50" s="1" t="s">
        <v>332</v>
      </c>
      <c r="B50" s="1" t="s">
        <v>677</v>
      </c>
      <c r="C50" s="1" t="s">
        <v>46</v>
      </c>
      <c r="D50" s="2">
        <v>46038</v>
      </c>
      <c r="E50" s="2">
        <v>46058</v>
      </c>
      <c r="F50">
        <v>493</v>
      </c>
      <c r="G50">
        <v>432</v>
      </c>
      <c r="H50">
        <v>212976</v>
      </c>
      <c r="I50" s="1" t="s">
        <v>643</v>
      </c>
      <c r="J50" t="str">
        <f>TEXT(clean_purchase_orders[[#This Row],[Order_Date]],"yyyy-mm")</f>
        <v>2026-01</v>
      </c>
    </row>
    <row r="51" spans="1:10" x14ac:dyDescent="0.3">
      <c r="A51" s="1" t="s">
        <v>334</v>
      </c>
      <c r="B51" s="1" t="s">
        <v>654</v>
      </c>
      <c r="C51" s="1" t="s">
        <v>14</v>
      </c>
      <c r="D51" s="2">
        <v>45897</v>
      </c>
      <c r="E51" s="2">
        <v>45910</v>
      </c>
      <c r="F51">
        <v>55</v>
      </c>
      <c r="G51">
        <v>360</v>
      </c>
      <c r="H51">
        <v>19800</v>
      </c>
      <c r="I51" s="1" t="s">
        <v>643</v>
      </c>
      <c r="J51" t="str">
        <f>TEXT(clean_purchase_orders[[#This Row],[Order_Date]],"yyyy-mm")</f>
        <v>2025-08</v>
      </c>
    </row>
    <row r="52" spans="1:10" x14ac:dyDescent="0.3">
      <c r="A52" s="1" t="s">
        <v>336</v>
      </c>
      <c r="B52" s="1" t="s">
        <v>678</v>
      </c>
      <c r="C52" s="1" t="s">
        <v>8</v>
      </c>
      <c r="D52" s="2">
        <v>46000</v>
      </c>
      <c r="E52" s="2">
        <v>46012</v>
      </c>
      <c r="F52">
        <v>454</v>
      </c>
      <c r="G52">
        <v>83</v>
      </c>
      <c r="H52">
        <v>37682</v>
      </c>
      <c r="I52" s="1" t="s">
        <v>643</v>
      </c>
      <c r="J52" t="str">
        <f>TEXT(clean_purchase_orders[[#This Row],[Order_Date]],"yyyy-mm")</f>
        <v>2025-12</v>
      </c>
    </row>
    <row r="53" spans="1:10" x14ac:dyDescent="0.3">
      <c r="A53" s="1" t="s">
        <v>338</v>
      </c>
      <c r="B53" s="1" t="s">
        <v>678</v>
      </c>
      <c r="C53" s="1" t="s">
        <v>19</v>
      </c>
      <c r="D53" s="2">
        <v>45884</v>
      </c>
      <c r="E53" s="2">
        <v>45899</v>
      </c>
      <c r="F53">
        <v>229</v>
      </c>
      <c r="G53">
        <v>187</v>
      </c>
      <c r="H53">
        <v>42823</v>
      </c>
      <c r="I53" s="1" t="s">
        <v>649</v>
      </c>
      <c r="J53" t="str">
        <f>TEXT(clean_purchase_orders[[#This Row],[Order_Date]],"yyyy-mm")</f>
        <v>2025-08</v>
      </c>
    </row>
    <row r="54" spans="1:10" x14ac:dyDescent="0.3">
      <c r="A54" s="1" t="s">
        <v>340</v>
      </c>
      <c r="B54" s="1" t="s">
        <v>679</v>
      </c>
      <c r="C54" s="1" t="s">
        <v>30</v>
      </c>
      <c r="D54" s="2">
        <v>45924</v>
      </c>
      <c r="E54" s="2">
        <v>45939</v>
      </c>
      <c r="F54">
        <v>118</v>
      </c>
      <c r="G54">
        <v>235</v>
      </c>
      <c r="H54">
        <v>27730</v>
      </c>
      <c r="I54" s="1" t="s">
        <v>649</v>
      </c>
      <c r="J54" t="str">
        <f>TEXT(clean_purchase_orders[[#This Row],[Order_Date]],"yyyy-mm")</f>
        <v>2025-09</v>
      </c>
    </row>
    <row r="55" spans="1:10" x14ac:dyDescent="0.3">
      <c r="A55" s="1" t="s">
        <v>342</v>
      </c>
      <c r="B55" s="1" t="s">
        <v>642</v>
      </c>
      <c r="C55" s="1" t="s">
        <v>16</v>
      </c>
      <c r="D55" s="2">
        <v>46142</v>
      </c>
      <c r="E55" s="2">
        <v>46162</v>
      </c>
      <c r="F55">
        <v>174</v>
      </c>
      <c r="G55">
        <v>227</v>
      </c>
      <c r="H55">
        <v>39498</v>
      </c>
      <c r="I55" s="1" t="s">
        <v>643</v>
      </c>
      <c r="J55" t="str">
        <f>TEXT(clean_purchase_orders[[#This Row],[Order_Date]],"yyyy-mm")</f>
        <v>2026-04</v>
      </c>
    </row>
    <row r="56" spans="1:10" x14ac:dyDescent="0.3">
      <c r="A56" s="1" t="s">
        <v>344</v>
      </c>
      <c r="B56" s="1" t="s">
        <v>665</v>
      </c>
      <c r="C56" s="1" t="s">
        <v>33</v>
      </c>
      <c r="D56" s="2">
        <v>46191</v>
      </c>
      <c r="E56" s="2">
        <v>46204</v>
      </c>
      <c r="F56">
        <v>127</v>
      </c>
      <c r="G56">
        <v>240</v>
      </c>
      <c r="H56">
        <v>30480</v>
      </c>
      <c r="I56" s="1" t="s">
        <v>643</v>
      </c>
      <c r="J56" t="str">
        <f>TEXT(clean_purchase_orders[[#This Row],[Order_Date]],"yyyy-mm")</f>
        <v>2026-06</v>
      </c>
    </row>
    <row r="57" spans="1:10" x14ac:dyDescent="0.3">
      <c r="A57" s="1" t="s">
        <v>346</v>
      </c>
      <c r="B57" s="1" t="s">
        <v>680</v>
      </c>
      <c r="C57" s="1" t="s">
        <v>33</v>
      </c>
      <c r="D57" s="2">
        <v>46176</v>
      </c>
      <c r="E57" s="2">
        <v>46195</v>
      </c>
      <c r="F57">
        <v>365</v>
      </c>
      <c r="G57">
        <v>129</v>
      </c>
      <c r="H57">
        <v>47085</v>
      </c>
      <c r="I57" s="1" t="s">
        <v>649</v>
      </c>
      <c r="J57" t="str">
        <f>TEXT(clean_purchase_orders[[#This Row],[Order_Date]],"yyyy-mm")</f>
        <v>2026-06</v>
      </c>
    </row>
    <row r="58" spans="1:10" x14ac:dyDescent="0.3">
      <c r="A58" s="1" t="s">
        <v>348</v>
      </c>
      <c r="B58" s="1" t="s">
        <v>674</v>
      </c>
      <c r="C58" s="1" t="s">
        <v>8</v>
      </c>
      <c r="D58" s="2">
        <v>45919</v>
      </c>
      <c r="E58" s="2">
        <v>45931</v>
      </c>
      <c r="F58">
        <v>357</v>
      </c>
      <c r="G58">
        <v>63</v>
      </c>
      <c r="H58">
        <v>22491</v>
      </c>
      <c r="I58" s="1" t="s">
        <v>649</v>
      </c>
      <c r="J58" t="str">
        <f>TEXT(clean_purchase_orders[[#This Row],[Order_Date]],"yyyy-mm")</f>
        <v>2025-09</v>
      </c>
    </row>
    <row r="59" spans="1:10" x14ac:dyDescent="0.3">
      <c r="A59" s="1" t="s">
        <v>350</v>
      </c>
      <c r="B59" s="1" t="s">
        <v>666</v>
      </c>
      <c r="C59" s="1" t="s">
        <v>46</v>
      </c>
      <c r="D59" s="2">
        <v>45961</v>
      </c>
      <c r="E59" s="2">
        <v>45966</v>
      </c>
      <c r="F59">
        <v>337</v>
      </c>
      <c r="G59">
        <v>191</v>
      </c>
      <c r="H59">
        <v>64367</v>
      </c>
      <c r="I59" s="1" t="s">
        <v>649</v>
      </c>
      <c r="J59" t="str">
        <f>TEXT(clean_purchase_orders[[#This Row],[Order_Date]],"yyyy-mm")</f>
        <v>2025-10</v>
      </c>
    </row>
    <row r="60" spans="1:10" x14ac:dyDescent="0.3">
      <c r="A60" s="1" t="s">
        <v>352</v>
      </c>
      <c r="B60" s="1" t="s">
        <v>662</v>
      </c>
      <c r="C60" s="1" t="s">
        <v>30</v>
      </c>
      <c r="D60" s="2">
        <v>45972</v>
      </c>
      <c r="E60" s="2">
        <v>45981</v>
      </c>
      <c r="F60">
        <v>135</v>
      </c>
      <c r="G60">
        <v>432</v>
      </c>
      <c r="H60">
        <v>58320</v>
      </c>
      <c r="I60" s="1" t="s">
        <v>646</v>
      </c>
      <c r="J60" t="str">
        <f>TEXT(clean_purchase_orders[[#This Row],[Order_Date]],"yyyy-mm")</f>
        <v>2025-11</v>
      </c>
    </row>
    <row r="61" spans="1:10" x14ac:dyDescent="0.3">
      <c r="A61" s="1" t="s">
        <v>354</v>
      </c>
      <c r="B61" s="1" t="s">
        <v>670</v>
      </c>
      <c r="C61" s="1" t="s">
        <v>33</v>
      </c>
      <c r="D61" s="2">
        <v>46058</v>
      </c>
      <c r="E61" s="2">
        <v>46063</v>
      </c>
      <c r="F61">
        <v>145</v>
      </c>
      <c r="G61">
        <v>263</v>
      </c>
      <c r="H61">
        <v>38135</v>
      </c>
      <c r="I61" s="1" t="s">
        <v>643</v>
      </c>
      <c r="J61" t="str">
        <f>TEXT(clean_purchase_orders[[#This Row],[Order_Date]],"yyyy-mm")</f>
        <v>2026-02</v>
      </c>
    </row>
    <row r="62" spans="1:10" x14ac:dyDescent="0.3">
      <c r="A62" s="1" t="s">
        <v>356</v>
      </c>
      <c r="B62" s="1" t="s">
        <v>666</v>
      </c>
      <c r="C62" s="1" t="s">
        <v>33</v>
      </c>
      <c r="D62" s="2">
        <v>45982</v>
      </c>
      <c r="E62" s="2">
        <v>45997</v>
      </c>
      <c r="F62">
        <v>314</v>
      </c>
      <c r="G62">
        <v>119</v>
      </c>
      <c r="H62">
        <v>37366</v>
      </c>
      <c r="I62" s="1" t="s">
        <v>643</v>
      </c>
      <c r="J62" t="str">
        <f>TEXT(clean_purchase_orders[[#This Row],[Order_Date]],"yyyy-mm")</f>
        <v>2025-11</v>
      </c>
    </row>
    <row r="63" spans="1:10" x14ac:dyDescent="0.3">
      <c r="A63" s="1" t="s">
        <v>358</v>
      </c>
      <c r="B63" s="1" t="s">
        <v>681</v>
      </c>
      <c r="C63" s="1" t="s">
        <v>24</v>
      </c>
      <c r="D63" s="2">
        <v>45865</v>
      </c>
      <c r="E63" s="2">
        <v>45868</v>
      </c>
      <c r="F63">
        <v>95</v>
      </c>
      <c r="G63">
        <v>355</v>
      </c>
      <c r="H63">
        <v>33725</v>
      </c>
      <c r="I63" s="1" t="s">
        <v>643</v>
      </c>
      <c r="J63" t="str">
        <f>TEXT(clean_purchase_orders[[#This Row],[Order_Date]],"yyyy-mm")</f>
        <v>2025-07</v>
      </c>
    </row>
    <row r="64" spans="1:10" x14ac:dyDescent="0.3">
      <c r="A64" s="1" t="s">
        <v>360</v>
      </c>
      <c r="B64" s="1" t="s">
        <v>675</v>
      </c>
      <c r="C64" s="1" t="s">
        <v>33</v>
      </c>
      <c r="D64" s="2">
        <v>46150</v>
      </c>
      <c r="E64" s="2">
        <v>46169</v>
      </c>
      <c r="F64">
        <v>110</v>
      </c>
      <c r="G64">
        <v>431</v>
      </c>
      <c r="H64">
        <v>47410</v>
      </c>
      <c r="I64" s="1" t="s">
        <v>646</v>
      </c>
      <c r="J64" t="str">
        <f>TEXT(clean_purchase_orders[[#This Row],[Order_Date]],"yyyy-mm")</f>
        <v>2026-05</v>
      </c>
    </row>
    <row r="65" spans="1:10" x14ac:dyDescent="0.3">
      <c r="A65" s="1" t="s">
        <v>362</v>
      </c>
      <c r="B65" s="1" t="s">
        <v>663</v>
      </c>
      <c r="C65" s="1" t="s">
        <v>33</v>
      </c>
      <c r="D65" s="2">
        <v>46146</v>
      </c>
      <c r="E65" s="2">
        <v>46152</v>
      </c>
      <c r="F65">
        <v>147</v>
      </c>
      <c r="G65">
        <v>489</v>
      </c>
      <c r="H65">
        <v>71883</v>
      </c>
      <c r="I65" s="1" t="s">
        <v>646</v>
      </c>
      <c r="J65" t="str">
        <f>TEXT(clean_purchase_orders[[#This Row],[Order_Date]],"yyyy-mm")</f>
        <v>2026-05</v>
      </c>
    </row>
    <row r="66" spans="1:10" x14ac:dyDescent="0.3">
      <c r="A66" s="1" t="s">
        <v>364</v>
      </c>
      <c r="B66" s="1" t="s">
        <v>682</v>
      </c>
      <c r="C66" s="1" t="s">
        <v>14</v>
      </c>
      <c r="D66" s="2">
        <v>46150</v>
      </c>
      <c r="E66" s="2">
        <v>46170</v>
      </c>
      <c r="F66">
        <v>361</v>
      </c>
      <c r="G66">
        <v>291</v>
      </c>
      <c r="H66">
        <v>105051</v>
      </c>
      <c r="I66" s="1" t="s">
        <v>643</v>
      </c>
      <c r="J66" t="str">
        <f>TEXT(clean_purchase_orders[[#This Row],[Order_Date]],"yyyy-mm")</f>
        <v>2026-05</v>
      </c>
    </row>
    <row r="67" spans="1:10" x14ac:dyDescent="0.3">
      <c r="A67" s="1" t="s">
        <v>366</v>
      </c>
      <c r="B67" s="1" t="s">
        <v>651</v>
      </c>
      <c r="C67" s="1" t="s">
        <v>28</v>
      </c>
      <c r="D67" s="2">
        <v>46032</v>
      </c>
      <c r="E67" s="2">
        <v>46051</v>
      </c>
      <c r="F67">
        <v>476</v>
      </c>
      <c r="G67">
        <v>246</v>
      </c>
      <c r="H67">
        <v>117096</v>
      </c>
      <c r="I67" s="1" t="s">
        <v>649</v>
      </c>
      <c r="J67" t="str">
        <f>TEXT(clean_purchase_orders[[#This Row],[Order_Date]],"yyyy-mm")</f>
        <v>2026-01</v>
      </c>
    </row>
    <row r="68" spans="1:10" x14ac:dyDescent="0.3">
      <c r="A68" s="1" t="s">
        <v>368</v>
      </c>
      <c r="B68" s="1" t="s">
        <v>680</v>
      </c>
      <c r="C68" s="1" t="s">
        <v>33</v>
      </c>
      <c r="D68" s="2">
        <v>45857</v>
      </c>
      <c r="E68" s="2">
        <v>45875</v>
      </c>
      <c r="F68">
        <v>479</v>
      </c>
      <c r="G68">
        <v>101</v>
      </c>
      <c r="H68">
        <v>48379</v>
      </c>
      <c r="I68" s="1" t="s">
        <v>643</v>
      </c>
      <c r="J68" t="str">
        <f>TEXT(clean_purchase_orders[[#This Row],[Order_Date]],"yyyy-mm")</f>
        <v>2025-07</v>
      </c>
    </row>
    <row r="69" spans="1:10" x14ac:dyDescent="0.3">
      <c r="A69" s="1" t="s">
        <v>370</v>
      </c>
      <c r="B69" s="1" t="s">
        <v>651</v>
      </c>
      <c r="C69" s="1" t="s">
        <v>8</v>
      </c>
      <c r="D69" s="2">
        <v>45914</v>
      </c>
      <c r="E69" s="2">
        <v>45925</v>
      </c>
      <c r="F69">
        <v>146</v>
      </c>
      <c r="G69">
        <v>450</v>
      </c>
      <c r="H69">
        <v>65700</v>
      </c>
      <c r="I69" s="1" t="s">
        <v>643</v>
      </c>
      <c r="J69" t="str">
        <f>TEXT(clean_purchase_orders[[#This Row],[Order_Date]],"yyyy-mm")</f>
        <v>2025-09</v>
      </c>
    </row>
    <row r="70" spans="1:10" x14ac:dyDescent="0.3">
      <c r="A70" s="1" t="s">
        <v>372</v>
      </c>
      <c r="B70" s="1" t="s">
        <v>666</v>
      </c>
      <c r="C70" s="1" t="s">
        <v>24</v>
      </c>
      <c r="D70" s="2">
        <v>45861</v>
      </c>
      <c r="E70" s="2">
        <v>45878</v>
      </c>
      <c r="F70">
        <v>142</v>
      </c>
      <c r="G70">
        <v>160</v>
      </c>
      <c r="H70">
        <v>22720</v>
      </c>
      <c r="I70" s="1" t="s">
        <v>649</v>
      </c>
      <c r="J70" t="str">
        <f>TEXT(clean_purchase_orders[[#This Row],[Order_Date]],"yyyy-mm")</f>
        <v>2025-07</v>
      </c>
    </row>
    <row r="71" spans="1:10" x14ac:dyDescent="0.3">
      <c r="A71" s="1" t="s">
        <v>374</v>
      </c>
      <c r="B71" s="1" t="s">
        <v>665</v>
      </c>
      <c r="C71" s="1" t="s">
        <v>11</v>
      </c>
      <c r="D71" s="2">
        <v>46009</v>
      </c>
      <c r="E71" s="2">
        <v>46022</v>
      </c>
      <c r="F71">
        <v>140</v>
      </c>
      <c r="G71">
        <v>159</v>
      </c>
      <c r="H71">
        <v>22260</v>
      </c>
      <c r="I71" s="1" t="s">
        <v>649</v>
      </c>
      <c r="J71" t="str">
        <f>TEXT(clean_purchase_orders[[#This Row],[Order_Date]],"yyyy-mm")</f>
        <v>2025-12</v>
      </c>
    </row>
    <row r="72" spans="1:10" x14ac:dyDescent="0.3">
      <c r="A72" s="1" t="s">
        <v>376</v>
      </c>
      <c r="B72" s="1" t="s">
        <v>683</v>
      </c>
      <c r="C72" s="1" t="s">
        <v>28</v>
      </c>
      <c r="D72" s="2">
        <v>46184</v>
      </c>
      <c r="E72" s="2">
        <v>46194</v>
      </c>
      <c r="F72">
        <v>90</v>
      </c>
      <c r="G72">
        <v>97</v>
      </c>
      <c r="H72">
        <v>8730</v>
      </c>
      <c r="I72" s="1" t="s">
        <v>649</v>
      </c>
      <c r="J72" t="str">
        <f>TEXT(clean_purchase_orders[[#This Row],[Order_Date]],"yyyy-mm")</f>
        <v>2026-06</v>
      </c>
    </row>
    <row r="73" spans="1:10" x14ac:dyDescent="0.3">
      <c r="A73" s="1" t="s">
        <v>378</v>
      </c>
      <c r="B73" s="1" t="s">
        <v>684</v>
      </c>
      <c r="C73" s="1" t="s">
        <v>28</v>
      </c>
      <c r="D73" s="2">
        <v>45986</v>
      </c>
      <c r="E73" s="2">
        <v>45991</v>
      </c>
      <c r="F73">
        <v>381</v>
      </c>
      <c r="G73">
        <v>129</v>
      </c>
      <c r="H73">
        <v>49149</v>
      </c>
      <c r="I73" s="1" t="s">
        <v>643</v>
      </c>
      <c r="J73" t="str">
        <f>TEXT(clean_purchase_orders[[#This Row],[Order_Date]],"yyyy-mm")</f>
        <v>2025-11</v>
      </c>
    </row>
    <row r="74" spans="1:10" x14ac:dyDescent="0.3">
      <c r="A74" s="1" t="s">
        <v>380</v>
      </c>
      <c r="B74" s="1" t="s">
        <v>673</v>
      </c>
      <c r="C74" s="1" t="s">
        <v>16</v>
      </c>
      <c r="D74" s="2">
        <v>46085</v>
      </c>
      <c r="E74" s="2">
        <v>46101</v>
      </c>
      <c r="F74">
        <v>297</v>
      </c>
      <c r="G74">
        <v>258</v>
      </c>
      <c r="H74">
        <v>76626</v>
      </c>
      <c r="I74" s="1" t="s">
        <v>646</v>
      </c>
      <c r="J74" t="str">
        <f>TEXT(clean_purchase_orders[[#This Row],[Order_Date]],"yyyy-mm")</f>
        <v>2026-03</v>
      </c>
    </row>
    <row r="75" spans="1:10" x14ac:dyDescent="0.3">
      <c r="A75" s="1" t="s">
        <v>382</v>
      </c>
      <c r="B75" s="1" t="s">
        <v>645</v>
      </c>
      <c r="C75" s="1" t="s">
        <v>14</v>
      </c>
      <c r="D75" s="2">
        <v>46200</v>
      </c>
      <c r="E75" s="2">
        <v>46203</v>
      </c>
      <c r="F75">
        <v>219</v>
      </c>
      <c r="G75">
        <v>483</v>
      </c>
      <c r="H75">
        <v>105777</v>
      </c>
      <c r="I75" s="1" t="s">
        <v>643</v>
      </c>
      <c r="J75" t="str">
        <f>TEXT(clean_purchase_orders[[#This Row],[Order_Date]],"yyyy-mm")</f>
        <v>2026-06</v>
      </c>
    </row>
    <row r="76" spans="1:10" x14ac:dyDescent="0.3">
      <c r="A76" s="1" t="s">
        <v>384</v>
      </c>
      <c r="B76" s="1" t="s">
        <v>652</v>
      </c>
      <c r="C76" s="1" t="s">
        <v>28</v>
      </c>
      <c r="D76" s="2">
        <v>46190</v>
      </c>
      <c r="E76" s="2">
        <v>46202</v>
      </c>
      <c r="F76">
        <v>23</v>
      </c>
      <c r="G76">
        <v>200</v>
      </c>
      <c r="H76">
        <v>4600</v>
      </c>
      <c r="I76" s="1" t="s">
        <v>643</v>
      </c>
      <c r="J76" t="str">
        <f>TEXT(clean_purchase_orders[[#This Row],[Order_Date]],"yyyy-mm")</f>
        <v>2026-06</v>
      </c>
    </row>
    <row r="77" spans="1:10" x14ac:dyDescent="0.3">
      <c r="A77" s="1" t="s">
        <v>386</v>
      </c>
      <c r="B77" s="1" t="s">
        <v>655</v>
      </c>
      <c r="C77" s="1" t="s">
        <v>14</v>
      </c>
      <c r="D77" s="2">
        <v>46134</v>
      </c>
      <c r="E77" s="2">
        <v>46154</v>
      </c>
      <c r="F77">
        <v>402</v>
      </c>
      <c r="G77">
        <v>396</v>
      </c>
      <c r="H77">
        <v>159192</v>
      </c>
      <c r="I77" s="1" t="s">
        <v>646</v>
      </c>
      <c r="J77" t="str">
        <f>TEXT(clean_purchase_orders[[#This Row],[Order_Date]],"yyyy-mm")</f>
        <v>2026-04</v>
      </c>
    </row>
    <row r="78" spans="1:10" x14ac:dyDescent="0.3">
      <c r="A78" s="1" t="s">
        <v>388</v>
      </c>
      <c r="B78" s="1" t="s">
        <v>685</v>
      </c>
      <c r="C78" s="1" t="s">
        <v>33</v>
      </c>
      <c r="D78" s="2">
        <v>45925</v>
      </c>
      <c r="E78" s="2">
        <v>45941</v>
      </c>
      <c r="F78">
        <v>132</v>
      </c>
      <c r="G78">
        <v>159</v>
      </c>
      <c r="H78">
        <v>20988</v>
      </c>
      <c r="I78" s="1" t="s">
        <v>646</v>
      </c>
      <c r="J78" t="str">
        <f>TEXT(clean_purchase_orders[[#This Row],[Order_Date]],"yyyy-mm")</f>
        <v>2025-09</v>
      </c>
    </row>
    <row r="79" spans="1:10" x14ac:dyDescent="0.3">
      <c r="A79" s="1" t="s">
        <v>390</v>
      </c>
      <c r="B79" s="1" t="s">
        <v>653</v>
      </c>
      <c r="C79" s="1" t="s">
        <v>30</v>
      </c>
      <c r="D79" s="2">
        <v>46087</v>
      </c>
      <c r="E79" s="2">
        <v>46102</v>
      </c>
      <c r="F79">
        <v>192</v>
      </c>
      <c r="G79">
        <v>362</v>
      </c>
      <c r="H79">
        <v>69504</v>
      </c>
      <c r="I79" s="1" t="s">
        <v>643</v>
      </c>
      <c r="J79" t="str">
        <f>TEXT(clean_purchase_orders[[#This Row],[Order_Date]],"yyyy-mm")</f>
        <v>2026-03</v>
      </c>
    </row>
    <row r="80" spans="1:10" x14ac:dyDescent="0.3">
      <c r="A80" s="1" t="s">
        <v>392</v>
      </c>
      <c r="B80" s="1" t="s">
        <v>679</v>
      </c>
      <c r="C80" s="1" t="s">
        <v>28</v>
      </c>
      <c r="D80" s="2">
        <v>45987</v>
      </c>
      <c r="E80" s="2">
        <v>45990</v>
      </c>
      <c r="F80">
        <v>338</v>
      </c>
      <c r="G80">
        <v>293</v>
      </c>
      <c r="H80">
        <v>99034</v>
      </c>
      <c r="I80" s="1" t="s">
        <v>649</v>
      </c>
      <c r="J80" t="str">
        <f>TEXT(clean_purchase_orders[[#This Row],[Order_Date]],"yyyy-mm")</f>
        <v>2025-11</v>
      </c>
    </row>
    <row r="81" spans="1:10" x14ac:dyDescent="0.3">
      <c r="A81" s="1" t="s">
        <v>394</v>
      </c>
      <c r="B81" s="1" t="s">
        <v>642</v>
      </c>
      <c r="C81" s="1" t="s">
        <v>28</v>
      </c>
      <c r="D81" s="2">
        <v>45882</v>
      </c>
      <c r="E81" s="2">
        <v>45887</v>
      </c>
      <c r="F81">
        <v>359</v>
      </c>
      <c r="G81">
        <v>33</v>
      </c>
      <c r="H81">
        <v>11847</v>
      </c>
      <c r="I81" s="1" t="s">
        <v>646</v>
      </c>
      <c r="J81" t="str">
        <f>TEXT(clean_purchase_orders[[#This Row],[Order_Date]],"yyyy-mm")</f>
        <v>2025-08</v>
      </c>
    </row>
    <row r="82" spans="1:10" x14ac:dyDescent="0.3">
      <c r="A82" s="1" t="s">
        <v>396</v>
      </c>
      <c r="B82" s="1" t="s">
        <v>682</v>
      </c>
      <c r="C82" s="1" t="s">
        <v>28</v>
      </c>
      <c r="D82" s="2">
        <v>46028</v>
      </c>
      <c r="E82" s="2">
        <v>46039</v>
      </c>
      <c r="F82">
        <v>113</v>
      </c>
      <c r="G82">
        <v>45</v>
      </c>
      <c r="H82">
        <v>5085</v>
      </c>
      <c r="I82" s="1" t="s">
        <v>643</v>
      </c>
      <c r="J82" t="str">
        <f>TEXT(clean_purchase_orders[[#This Row],[Order_Date]],"yyyy-mm")</f>
        <v>2026-01</v>
      </c>
    </row>
    <row r="83" spans="1:10" x14ac:dyDescent="0.3">
      <c r="A83" s="1" t="s">
        <v>398</v>
      </c>
      <c r="B83" s="1" t="s">
        <v>659</v>
      </c>
      <c r="C83" s="1" t="s">
        <v>28</v>
      </c>
      <c r="D83" s="2">
        <v>46163</v>
      </c>
      <c r="E83" s="2">
        <v>46176</v>
      </c>
      <c r="F83">
        <v>252</v>
      </c>
      <c r="G83">
        <v>187</v>
      </c>
      <c r="H83">
        <v>47124</v>
      </c>
      <c r="I83" s="1" t="s">
        <v>643</v>
      </c>
      <c r="J83" t="str">
        <f>TEXT(clean_purchase_orders[[#This Row],[Order_Date]],"yyyy-mm")</f>
        <v>2026-05</v>
      </c>
    </row>
    <row r="84" spans="1:10" x14ac:dyDescent="0.3">
      <c r="A84" s="1" t="s">
        <v>400</v>
      </c>
      <c r="B84" s="1" t="s">
        <v>651</v>
      </c>
      <c r="C84" s="1" t="s">
        <v>24</v>
      </c>
      <c r="D84" s="2">
        <v>46148</v>
      </c>
      <c r="E84" s="2">
        <v>46159</v>
      </c>
      <c r="F84">
        <v>445</v>
      </c>
      <c r="G84">
        <v>235</v>
      </c>
      <c r="H84">
        <v>104575</v>
      </c>
      <c r="I84" s="1" t="s">
        <v>643</v>
      </c>
      <c r="J84" t="str">
        <f>TEXT(clean_purchase_orders[[#This Row],[Order_Date]],"yyyy-mm")</f>
        <v>2026-05</v>
      </c>
    </row>
    <row r="85" spans="1:10" x14ac:dyDescent="0.3">
      <c r="A85" s="1" t="s">
        <v>402</v>
      </c>
      <c r="B85" s="1" t="s">
        <v>686</v>
      </c>
      <c r="C85" s="1" t="s">
        <v>11</v>
      </c>
      <c r="D85" s="2">
        <v>46140</v>
      </c>
      <c r="E85" s="2">
        <v>46144</v>
      </c>
      <c r="F85">
        <v>403</v>
      </c>
      <c r="G85">
        <v>296</v>
      </c>
      <c r="H85">
        <v>119288</v>
      </c>
      <c r="I85" s="1" t="s">
        <v>646</v>
      </c>
      <c r="J85" t="str">
        <f>TEXT(clean_purchase_orders[[#This Row],[Order_Date]],"yyyy-mm")</f>
        <v>2026-04</v>
      </c>
    </row>
    <row r="86" spans="1:10" x14ac:dyDescent="0.3">
      <c r="A86" s="1" t="s">
        <v>404</v>
      </c>
      <c r="B86" s="1" t="s">
        <v>687</v>
      </c>
      <c r="C86" s="1" t="s">
        <v>16</v>
      </c>
      <c r="D86" s="2">
        <v>46065</v>
      </c>
      <c r="E86" s="2">
        <v>46069</v>
      </c>
      <c r="F86">
        <v>55</v>
      </c>
      <c r="G86">
        <v>419</v>
      </c>
      <c r="H86">
        <v>23045</v>
      </c>
      <c r="I86" s="1" t="s">
        <v>646</v>
      </c>
      <c r="J86" t="str">
        <f>TEXT(clean_purchase_orders[[#This Row],[Order_Date]],"yyyy-mm")</f>
        <v>2026-02</v>
      </c>
    </row>
    <row r="87" spans="1:10" x14ac:dyDescent="0.3">
      <c r="A87" s="1" t="s">
        <v>406</v>
      </c>
      <c r="B87" s="1" t="s">
        <v>644</v>
      </c>
      <c r="C87" s="1" t="s">
        <v>46</v>
      </c>
      <c r="D87" s="2">
        <v>46175</v>
      </c>
      <c r="E87" s="2">
        <v>46182</v>
      </c>
      <c r="F87">
        <v>449</v>
      </c>
      <c r="G87">
        <v>30</v>
      </c>
      <c r="H87">
        <v>13470</v>
      </c>
      <c r="I87" s="1" t="s">
        <v>646</v>
      </c>
      <c r="J87" t="str">
        <f>TEXT(clean_purchase_orders[[#This Row],[Order_Date]],"yyyy-mm")</f>
        <v>2026-06</v>
      </c>
    </row>
    <row r="88" spans="1:10" x14ac:dyDescent="0.3">
      <c r="A88" s="1" t="s">
        <v>408</v>
      </c>
      <c r="B88" s="1" t="s">
        <v>652</v>
      </c>
      <c r="C88" s="1" t="s">
        <v>33</v>
      </c>
      <c r="D88" s="2">
        <v>46055</v>
      </c>
      <c r="E88" s="2">
        <v>46064</v>
      </c>
      <c r="F88">
        <v>362</v>
      </c>
      <c r="G88">
        <v>78</v>
      </c>
      <c r="H88">
        <v>28236</v>
      </c>
      <c r="I88" s="1" t="s">
        <v>649</v>
      </c>
      <c r="J88" t="str">
        <f>TEXT(clean_purchase_orders[[#This Row],[Order_Date]],"yyyy-mm")</f>
        <v>2026-02</v>
      </c>
    </row>
    <row r="89" spans="1:10" x14ac:dyDescent="0.3">
      <c r="A89" s="1" t="s">
        <v>410</v>
      </c>
      <c r="B89" s="1" t="s">
        <v>660</v>
      </c>
      <c r="C89" s="1" t="s">
        <v>14</v>
      </c>
      <c r="D89" s="2">
        <v>45926</v>
      </c>
      <c r="E89" s="2">
        <v>45934</v>
      </c>
      <c r="F89">
        <v>412</v>
      </c>
      <c r="G89">
        <v>208</v>
      </c>
      <c r="H89">
        <v>85696</v>
      </c>
      <c r="I89" s="1" t="s">
        <v>649</v>
      </c>
      <c r="J89" t="str">
        <f>TEXT(clean_purchase_orders[[#This Row],[Order_Date]],"yyyy-mm")</f>
        <v>2025-09</v>
      </c>
    </row>
    <row r="90" spans="1:10" x14ac:dyDescent="0.3">
      <c r="A90" s="1" t="s">
        <v>412</v>
      </c>
      <c r="B90" s="1" t="s">
        <v>669</v>
      </c>
      <c r="C90" s="1" t="s">
        <v>19</v>
      </c>
      <c r="D90" s="2">
        <v>46059</v>
      </c>
      <c r="E90" s="2">
        <v>46067</v>
      </c>
      <c r="F90">
        <v>387</v>
      </c>
      <c r="G90">
        <v>78</v>
      </c>
      <c r="H90">
        <v>30186</v>
      </c>
      <c r="I90" s="1" t="s">
        <v>646</v>
      </c>
      <c r="J90" t="str">
        <f>TEXT(clean_purchase_orders[[#This Row],[Order_Date]],"yyyy-mm")</f>
        <v>2026-02</v>
      </c>
    </row>
    <row r="91" spans="1:10" x14ac:dyDescent="0.3">
      <c r="A91" s="1" t="s">
        <v>414</v>
      </c>
      <c r="B91" s="1" t="s">
        <v>656</v>
      </c>
      <c r="C91" s="1" t="s">
        <v>14</v>
      </c>
      <c r="D91" s="2">
        <v>45993</v>
      </c>
      <c r="E91" s="2">
        <v>46005</v>
      </c>
      <c r="F91">
        <v>33</v>
      </c>
      <c r="G91">
        <v>495</v>
      </c>
      <c r="H91">
        <v>16335</v>
      </c>
      <c r="I91" s="1" t="s">
        <v>649</v>
      </c>
      <c r="J91" t="str">
        <f>TEXT(clean_purchase_orders[[#This Row],[Order_Date]],"yyyy-mm")</f>
        <v>2025-12</v>
      </c>
    </row>
    <row r="92" spans="1:10" x14ac:dyDescent="0.3">
      <c r="A92" s="1" t="s">
        <v>416</v>
      </c>
      <c r="B92" s="1" t="s">
        <v>653</v>
      </c>
      <c r="C92" s="1" t="s">
        <v>24</v>
      </c>
      <c r="D92" s="2">
        <v>45853</v>
      </c>
      <c r="E92" s="2">
        <v>45862</v>
      </c>
      <c r="F92">
        <v>223</v>
      </c>
      <c r="G92">
        <v>386</v>
      </c>
      <c r="H92">
        <v>86078</v>
      </c>
      <c r="I92" s="1" t="s">
        <v>649</v>
      </c>
      <c r="J92" t="str">
        <f>TEXT(clean_purchase_orders[[#This Row],[Order_Date]],"yyyy-mm")</f>
        <v>2025-07</v>
      </c>
    </row>
    <row r="93" spans="1:10" x14ac:dyDescent="0.3">
      <c r="A93" s="1" t="s">
        <v>418</v>
      </c>
      <c r="B93" s="1" t="s">
        <v>688</v>
      </c>
      <c r="C93" s="1" t="s">
        <v>24</v>
      </c>
      <c r="D93" s="2">
        <v>46133</v>
      </c>
      <c r="E93" s="2">
        <v>46143</v>
      </c>
      <c r="F93">
        <v>445</v>
      </c>
      <c r="G93">
        <v>341</v>
      </c>
      <c r="H93">
        <v>151745</v>
      </c>
      <c r="I93" s="1" t="s">
        <v>649</v>
      </c>
      <c r="J93" t="str">
        <f>TEXT(clean_purchase_orders[[#This Row],[Order_Date]],"yyyy-mm")</f>
        <v>2026-04</v>
      </c>
    </row>
    <row r="94" spans="1:10" x14ac:dyDescent="0.3">
      <c r="A94" s="1" t="s">
        <v>420</v>
      </c>
      <c r="B94" s="1" t="s">
        <v>689</v>
      </c>
      <c r="C94" s="1" t="s">
        <v>14</v>
      </c>
      <c r="D94" s="2">
        <v>46048</v>
      </c>
      <c r="E94" s="2">
        <v>46054</v>
      </c>
      <c r="F94">
        <v>174</v>
      </c>
      <c r="G94">
        <v>455</v>
      </c>
      <c r="H94">
        <v>79170</v>
      </c>
      <c r="I94" s="1" t="s">
        <v>646</v>
      </c>
      <c r="J94" t="str">
        <f>TEXT(clean_purchase_orders[[#This Row],[Order_Date]],"yyyy-mm")</f>
        <v>2026-01</v>
      </c>
    </row>
    <row r="95" spans="1:10" x14ac:dyDescent="0.3">
      <c r="A95" s="1" t="s">
        <v>422</v>
      </c>
      <c r="B95" s="1" t="s">
        <v>690</v>
      </c>
      <c r="C95" s="1" t="s">
        <v>24</v>
      </c>
      <c r="D95" s="2">
        <v>46003</v>
      </c>
      <c r="E95" s="2">
        <v>46017</v>
      </c>
      <c r="F95">
        <v>292</v>
      </c>
      <c r="G95">
        <v>239</v>
      </c>
      <c r="H95">
        <v>69788</v>
      </c>
      <c r="I95" s="1" t="s">
        <v>649</v>
      </c>
      <c r="J95" t="str">
        <f>TEXT(clean_purchase_orders[[#This Row],[Order_Date]],"yyyy-mm")</f>
        <v>2025-12</v>
      </c>
    </row>
    <row r="96" spans="1:10" x14ac:dyDescent="0.3">
      <c r="A96" s="1" t="s">
        <v>424</v>
      </c>
      <c r="B96" s="1" t="s">
        <v>687</v>
      </c>
      <c r="C96" s="1" t="s">
        <v>33</v>
      </c>
      <c r="D96" s="2">
        <v>46042</v>
      </c>
      <c r="E96" s="2">
        <v>46058</v>
      </c>
      <c r="F96">
        <v>194</v>
      </c>
      <c r="G96">
        <v>26</v>
      </c>
      <c r="H96">
        <v>5044</v>
      </c>
      <c r="I96" s="1" t="s">
        <v>646</v>
      </c>
      <c r="J96" t="str">
        <f>TEXT(clean_purchase_orders[[#This Row],[Order_Date]],"yyyy-mm")</f>
        <v>2026-01</v>
      </c>
    </row>
    <row r="97" spans="1:10" x14ac:dyDescent="0.3">
      <c r="A97" s="1" t="s">
        <v>426</v>
      </c>
      <c r="B97" s="1" t="s">
        <v>654</v>
      </c>
      <c r="C97" s="1" t="s">
        <v>30</v>
      </c>
      <c r="D97" s="2">
        <v>45915</v>
      </c>
      <c r="E97" s="2">
        <v>45932</v>
      </c>
      <c r="F97">
        <v>205</v>
      </c>
      <c r="G97">
        <v>345</v>
      </c>
      <c r="H97">
        <v>70725</v>
      </c>
      <c r="I97" s="1" t="s">
        <v>643</v>
      </c>
      <c r="J97" t="str">
        <f>TEXT(clean_purchase_orders[[#This Row],[Order_Date]],"yyyy-mm")</f>
        <v>2025-09</v>
      </c>
    </row>
    <row r="98" spans="1:10" x14ac:dyDescent="0.3">
      <c r="A98" s="1" t="s">
        <v>428</v>
      </c>
      <c r="B98" s="1" t="s">
        <v>672</v>
      </c>
      <c r="C98" s="1" t="s">
        <v>14</v>
      </c>
      <c r="D98" s="2">
        <v>46174</v>
      </c>
      <c r="E98" s="2">
        <v>46185</v>
      </c>
      <c r="F98">
        <v>395</v>
      </c>
      <c r="G98">
        <v>287</v>
      </c>
      <c r="H98">
        <v>113365</v>
      </c>
      <c r="I98" s="1" t="s">
        <v>649</v>
      </c>
      <c r="J98" t="str">
        <f>TEXT(clean_purchase_orders[[#This Row],[Order_Date]],"yyyy-mm")</f>
        <v>2026-06</v>
      </c>
    </row>
    <row r="99" spans="1:10" x14ac:dyDescent="0.3">
      <c r="A99" s="1" t="s">
        <v>430</v>
      </c>
      <c r="B99" s="1" t="s">
        <v>689</v>
      </c>
      <c r="C99" s="1" t="s">
        <v>14</v>
      </c>
      <c r="D99" s="2">
        <v>46182</v>
      </c>
      <c r="E99" s="2">
        <v>46198</v>
      </c>
      <c r="F99">
        <v>267</v>
      </c>
      <c r="G99">
        <v>258</v>
      </c>
      <c r="H99">
        <v>68886</v>
      </c>
      <c r="I99" s="1" t="s">
        <v>643</v>
      </c>
      <c r="J99" t="str">
        <f>TEXT(clean_purchase_orders[[#This Row],[Order_Date]],"yyyy-mm")</f>
        <v>2026-06</v>
      </c>
    </row>
    <row r="100" spans="1:10" x14ac:dyDescent="0.3">
      <c r="A100" s="1" t="s">
        <v>432</v>
      </c>
      <c r="B100" s="1" t="s">
        <v>676</v>
      </c>
      <c r="C100" s="1" t="s">
        <v>19</v>
      </c>
      <c r="D100" s="2">
        <v>45878</v>
      </c>
      <c r="E100" s="2">
        <v>45883</v>
      </c>
      <c r="F100">
        <v>456</v>
      </c>
      <c r="G100">
        <v>145</v>
      </c>
      <c r="H100">
        <v>66120</v>
      </c>
      <c r="I100" s="1" t="s">
        <v>643</v>
      </c>
      <c r="J100" t="str">
        <f>TEXT(clean_purchase_orders[[#This Row],[Order_Date]],"yyyy-mm")</f>
        <v>2025-08</v>
      </c>
    </row>
    <row r="101" spans="1:10" x14ac:dyDescent="0.3">
      <c r="A101" s="1" t="s">
        <v>434</v>
      </c>
      <c r="B101" s="1" t="s">
        <v>681</v>
      </c>
      <c r="C101" s="1" t="s">
        <v>11</v>
      </c>
      <c r="D101" s="2">
        <v>46115</v>
      </c>
      <c r="E101" s="2">
        <v>46130</v>
      </c>
      <c r="F101">
        <v>404</v>
      </c>
      <c r="G101">
        <v>257</v>
      </c>
      <c r="H101">
        <v>103828</v>
      </c>
      <c r="I101" s="1" t="s">
        <v>646</v>
      </c>
      <c r="J101" t="str">
        <f>TEXT(clean_purchase_orders[[#This Row],[Order_Date]],"yyyy-mm")</f>
        <v>2026-04</v>
      </c>
    </row>
    <row r="102" spans="1:10" x14ac:dyDescent="0.3">
      <c r="A102" s="1" t="s">
        <v>436</v>
      </c>
      <c r="B102" s="1" t="s">
        <v>685</v>
      </c>
      <c r="C102" s="1" t="s">
        <v>33</v>
      </c>
      <c r="D102" s="2">
        <v>46170</v>
      </c>
      <c r="E102" s="2">
        <v>46178</v>
      </c>
      <c r="F102">
        <v>455</v>
      </c>
      <c r="G102">
        <v>186</v>
      </c>
      <c r="H102">
        <v>84630</v>
      </c>
      <c r="I102" s="1" t="s">
        <v>646</v>
      </c>
      <c r="J102" t="str">
        <f>TEXT(clean_purchase_orders[[#This Row],[Order_Date]],"yyyy-mm")</f>
        <v>2026-05</v>
      </c>
    </row>
    <row r="103" spans="1:10" x14ac:dyDescent="0.3">
      <c r="A103" s="1" t="s">
        <v>438</v>
      </c>
      <c r="B103" s="1" t="s">
        <v>690</v>
      </c>
      <c r="C103" s="1" t="s">
        <v>19</v>
      </c>
      <c r="D103" s="2">
        <v>46179</v>
      </c>
      <c r="E103" s="2">
        <v>46192</v>
      </c>
      <c r="F103">
        <v>428</v>
      </c>
      <c r="G103">
        <v>152</v>
      </c>
      <c r="H103">
        <v>65056</v>
      </c>
      <c r="I103" s="1" t="s">
        <v>649</v>
      </c>
      <c r="J103" t="str">
        <f>TEXT(clean_purchase_orders[[#This Row],[Order_Date]],"yyyy-mm")</f>
        <v>2026-06</v>
      </c>
    </row>
    <row r="104" spans="1:10" x14ac:dyDescent="0.3">
      <c r="A104" s="1" t="s">
        <v>440</v>
      </c>
      <c r="B104" s="1" t="s">
        <v>688</v>
      </c>
      <c r="C104" s="1" t="s">
        <v>16</v>
      </c>
      <c r="D104" s="2">
        <v>45911</v>
      </c>
      <c r="E104" s="2">
        <v>45931</v>
      </c>
      <c r="F104">
        <v>470</v>
      </c>
      <c r="G104">
        <v>161</v>
      </c>
      <c r="H104">
        <v>75670</v>
      </c>
      <c r="I104" s="1" t="s">
        <v>649</v>
      </c>
      <c r="J104" t="str">
        <f>TEXT(clean_purchase_orders[[#This Row],[Order_Date]],"yyyy-mm")</f>
        <v>2025-09</v>
      </c>
    </row>
    <row r="105" spans="1:10" x14ac:dyDescent="0.3">
      <c r="A105" s="1" t="s">
        <v>442</v>
      </c>
      <c r="B105" s="1" t="s">
        <v>644</v>
      </c>
      <c r="C105" s="1" t="s">
        <v>33</v>
      </c>
      <c r="D105" s="2">
        <v>46147</v>
      </c>
      <c r="E105" s="2">
        <v>46163</v>
      </c>
      <c r="F105">
        <v>63</v>
      </c>
      <c r="G105">
        <v>143</v>
      </c>
      <c r="H105">
        <v>9009</v>
      </c>
      <c r="I105" s="1" t="s">
        <v>649</v>
      </c>
      <c r="J105" t="str">
        <f>TEXT(clean_purchase_orders[[#This Row],[Order_Date]],"yyyy-mm")</f>
        <v>2026-05</v>
      </c>
    </row>
    <row r="106" spans="1:10" x14ac:dyDescent="0.3">
      <c r="A106" s="1" t="s">
        <v>444</v>
      </c>
      <c r="B106" s="1" t="s">
        <v>651</v>
      </c>
      <c r="C106" s="1" t="s">
        <v>33</v>
      </c>
      <c r="D106" s="2">
        <v>45847</v>
      </c>
      <c r="E106" s="2">
        <v>45865</v>
      </c>
      <c r="F106">
        <v>143</v>
      </c>
      <c r="G106">
        <v>373</v>
      </c>
      <c r="H106">
        <v>53339</v>
      </c>
      <c r="I106" s="1" t="s">
        <v>643</v>
      </c>
      <c r="J106" t="str">
        <f>TEXT(clean_purchase_orders[[#This Row],[Order_Date]],"yyyy-mm")</f>
        <v>2025-07</v>
      </c>
    </row>
    <row r="107" spans="1:10" x14ac:dyDescent="0.3">
      <c r="A107" s="1" t="s">
        <v>446</v>
      </c>
      <c r="B107" s="1" t="s">
        <v>686</v>
      </c>
      <c r="C107" s="1" t="s">
        <v>28</v>
      </c>
      <c r="D107" s="2">
        <v>46063</v>
      </c>
      <c r="E107" s="2">
        <v>46073</v>
      </c>
      <c r="F107">
        <v>67</v>
      </c>
      <c r="G107">
        <v>170</v>
      </c>
      <c r="H107">
        <v>11390</v>
      </c>
      <c r="I107" s="1" t="s">
        <v>649</v>
      </c>
      <c r="J107" t="str">
        <f>TEXT(clean_purchase_orders[[#This Row],[Order_Date]],"yyyy-mm")</f>
        <v>2026-02</v>
      </c>
    </row>
    <row r="108" spans="1:10" x14ac:dyDescent="0.3">
      <c r="A108" s="1" t="s">
        <v>448</v>
      </c>
      <c r="B108" s="1" t="s">
        <v>681</v>
      </c>
      <c r="C108" s="1" t="s">
        <v>33</v>
      </c>
      <c r="D108" s="2">
        <v>45967</v>
      </c>
      <c r="E108" s="2">
        <v>45981</v>
      </c>
      <c r="F108">
        <v>176</v>
      </c>
      <c r="G108">
        <v>359</v>
      </c>
      <c r="H108">
        <v>63184</v>
      </c>
      <c r="I108" s="1" t="s">
        <v>649</v>
      </c>
      <c r="J108" t="str">
        <f>TEXT(clean_purchase_orders[[#This Row],[Order_Date]],"yyyy-mm")</f>
        <v>2025-11</v>
      </c>
    </row>
    <row r="109" spans="1:10" x14ac:dyDescent="0.3">
      <c r="A109" s="1" t="s">
        <v>450</v>
      </c>
      <c r="B109" s="1" t="s">
        <v>677</v>
      </c>
      <c r="C109" s="1" t="s">
        <v>11</v>
      </c>
      <c r="D109" s="2">
        <v>46174</v>
      </c>
      <c r="E109" s="2">
        <v>46194</v>
      </c>
      <c r="F109">
        <v>196</v>
      </c>
      <c r="G109">
        <v>237</v>
      </c>
      <c r="H109">
        <v>46452</v>
      </c>
      <c r="I109" s="1" t="s">
        <v>643</v>
      </c>
      <c r="J109" t="str">
        <f>TEXT(clean_purchase_orders[[#This Row],[Order_Date]],"yyyy-mm")</f>
        <v>2026-06</v>
      </c>
    </row>
    <row r="110" spans="1:10" x14ac:dyDescent="0.3">
      <c r="A110" s="1" t="s">
        <v>452</v>
      </c>
      <c r="B110" s="1" t="s">
        <v>688</v>
      </c>
      <c r="C110" s="1" t="s">
        <v>19</v>
      </c>
      <c r="D110" s="2">
        <v>45902</v>
      </c>
      <c r="E110" s="2">
        <v>45914</v>
      </c>
      <c r="F110">
        <v>252</v>
      </c>
      <c r="G110">
        <v>158</v>
      </c>
      <c r="H110">
        <v>39816</v>
      </c>
      <c r="I110" s="1" t="s">
        <v>646</v>
      </c>
      <c r="J110" t="str">
        <f>TEXT(clean_purchase_orders[[#This Row],[Order_Date]],"yyyy-mm")</f>
        <v>2025-09</v>
      </c>
    </row>
    <row r="111" spans="1:10" x14ac:dyDescent="0.3">
      <c r="A111" s="1" t="s">
        <v>454</v>
      </c>
      <c r="B111" s="1" t="s">
        <v>664</v>
      </c>
      <c r="C111" s="1" t="s">
        <v>24</v>
      </c>
      <c r="D111" s="2">
        <v>46024</v>
      </c>
      <c r="E111" s="2">
        <v>46037</v>
      </c>
      <c r="F111">
        <v>389</v>
      </c>
      <c r="G111">
        <v>118</v>
      </c>
      <c r="H111">
        <v>45902</v>
      </c>
      <c r="I111" s="1" t="s">
        <v>649</v>
      </c>
      <c r="J111" t="str">
        <f>TEXT(clean_purchase_orders[[#This Row],[Order_Date]],"yyyy-mm")</f>
        <v>2026-01</v>
      </c>
    </row>
    <row r="112" spans="1:10" x14ac:dyDescent="0.3">
      <c r="A112" s="1" t="s">
        <v>456</v>
      </c>
      <c r="B112" s="1" t="s">
        <v>655</v>
      </c>
      <c r="C112" s="1" t="s">
        <v>46</v>
      </c>
      <c r="D112" s="2">
        <v>46076</v>
      </c>
      <c r="E112" s="2">
        <v>46084</v>
      </c>
      <c r="F112">
        <v>410</v>
      </c>
      <c r="G112">
        <v>373</v>
      </c>
      <c r="H112">
        <v>152930</v>
      </c>
      <c r="I112" s="1" t="s">
        <v>646</v>
      </c>
      <c r="J112" t="str">
        <f>TEXT(clean_purchase_orders[[#This Row],[Order_Date]],"yyyy-mm")</f>
        <v>2026-02</v>
      </c>
    </row>
    <row r="113" spans="1:10" x14ac:dyDescent="0.3">
      <c r="A113" s="1" t="s">
        <v>458</v>
      </c>
      <c r="B113" s="1" t="s">
        <v>669</v>
      </c>
      <c r="C113" s="1" t="s">
        <v>14</v>
      </c>
      <c r="D113" s="2">
        <v>46054</v>
      </c>
      <c r="E113" s="2">
        <v>46073</v>
      </c>
      <c r="F113">
        <v>267</v>
      </c>
      <c r="G113">
        <v>161</v>
      </c>
      <c r="H113">
        <v>42987</v>
      </c>
      <c r="I113" s="1" t="s">
        <v>643</v>
      </c>
      <c r="J113" t="str">
        <f>TEXT(clean_purchase_orders[[#This Row],[Order_Date]],"yyyy-mm")</f>
        <v>2026-02</v>
      </c>
    </row>
    <row r="114" spans="1:10" x14ac:dyDescent="0.3">
      <c r="A114" s="1" t="s">
        <v>460</v>
      </c>
      <c r="B114" s="1" t="s">
        <v>650</v>
      </c>
      <c r="C114" s="1" t="s">
        <v>46</v>
      </c>
      <c r="D114" s="2">
        <v>45839</v>
      </c>
      <c r="E114" s="2">
        <v>45851</v>
      </c>
      <c r="F114">
        <v>446</v>
      </c>
      <c r="G114">
        <v>119</v>
      </c>
      <c r="H114">
        <v>53074</v>
      </c>
      <c r="I114" s="1" t="s">
        <v>643</v>
      </c>
      <c r="J114" t="str">
        <f>TEXT(clean_purchase_orders[[#This Row],[Order_Date]],"yyyy-mm")</f>
        <v>2025-07</v>
      </c>
    </row>
    <row r="115" spans="1:10" x14ac:dyDescent="0.3">
      <c r="A115" s="1" t="s">
        <v>462</v>
      </c>
      <c r="B115" s="1" t="s">
        <v>672</v>
      </c>
      <c r="C115" s="1" t="s">
        <v>30</v>
      </c>
      <c r="D115" s="2">
        <v>45863</v>
      </c>
      <c r="E115" s="2">
        <v>45883</v>
      </c>
      <c r="F115">
        <v>174</v>
      </c>
      <c r="G115">
        <v>27</v>
      </c>
      <c r="H115">
        <v>4698</v>
      </c>
      <c r="I115" s="1" t="s">
        <v>643</v>
      </c>
      <c r="J115" t="str">
        <f>TEXT(clean_purchase_orders[[#This Row],[Order_Date]],"yyyy-mm")</f>
        <v>2025-07</v>
      </c>
    </row>
    <row r="116" spans="1:10" x14ac:dyDescent="0.3">
      <c r="A116" s="1" t="s">
        <v>464</v>
      </c>
      <c r="B116" s="1" t="s">
        <v>670</v>
      </c>
      <c r="C116" s="1" t="s">
        <v>30</v>
      </c>
      <c r="D116" s="2">
        <v>46141</v>
      </c>
      <c r="E116" s="2">
        <v>46153</v>
      </c>
      <c r="F116">
        <v>47</v>
      </c>
      <c r="G116">
        <v>303</v>
      </c>
      <c r="H116">
        <v>14241</v>
      </c>
      <c r="I116" s="1" t="s">
        <v>649</v>
      </c>
      <c r="J116" t="str">
        <f>TEXT(clean_purchase_orders[[#This Row],[Order_Date]],"yyyy-mm")</f>
        <v>2026-04</v>
      </c>
    </row>
    <row r="117" spans="1:10" x14ac:dyDescent="0.3">
      <c r="A117" s="1" t="s">
        <v>466</v>
      </c>
      <c r="B117" s="1" t="s">
        <v>651</v>
      </c>
      <c r="C117" s="1" t="s">
        <v>14</v>
      </c>
      <c r="D117" s="2">
        <v>46075</v>
      </c>
      <c r="E117" s="2">
        <v>46078</v>
      </c>
      <c r="F117">
        <v>271</v>
      </c>
      <c r="G117">
        <v>72</v>
      </c>
      <c r="H117">
        <v>19512</v>
      </c>
      <c r="I117" s="1" t="s">
        <v>643</v>
      </c>
      <c r="J117" t="str">
        <f>TEXT(clean_purchase_orders[[#This Row],[Order_Date]],"yyyy-mm")</f>
        <v>2026-02</v>
      </c>
    </row>
    <row r="118" spans="1:10" x14ac:dyDescent="0.3">
      <c r="A118" s="1" t="s">
        <v>468</v>
      </c>
      <c r="B118" s="1" t="s">
        <v>652</v>
      </c>
      <c r="C118" s="1" t="s">
        <v>30</v>
      </c>
      <c r="D118" s="2">
        <v>45864</v>
      </c>
      <c r="E118" s="2">
        <v>45877</v>
      </c>
      <c r="F118">
        <v>265</v>
      </c>
      <c r="G118">
        <v>245</v>
      </c>
      <c r="H118">
        <v>64925</v>
      </c>
      <c r="I118" s="1" t="s">
        <v>646</v>
      </c>
      <c r="J118" t="str">
        <f>TEXT(clean_purchase_orders[[#This Row],[Order_Date]],"yyyy-mm")</f>
        <v>2025-07</v>
      </c>
    </row>
    <row r="119" spans="1:10" x14ac:dyDescent="0.3">
      <c r="A119" s="1" t="s">
        <v>470</v>
      </c>
      <c r="B119" s="1" t="s">
        <v>660</v>
      </c>
      <c r="C119" s="1" t="s">
        <v>24</v>
      </c>
      <c r="D119" s="2">
        <v>46163</v>
      </c>
      <c r="E119" s="2">
        <v>46169</v>
      </c>
      <c r="F119">
        <v>461</v>
      </c>
      <c r="G119">
        <v>264</v>
      </c>
      <c r="H119">
        <v>121704</v>
      </c>
      <c r="I119" s="1" t="s">
        <v>643</v>
      </c>
      <c r="J119" t="str">
        <f>TEXT(clean_purchase_orders[[#This Row],[Order_Date]],"yyyy-mm")</f>
        <v>2026-05</v>
      </c>
    </row>
    <row r="120" spans="1:10" x14ac:dyDescent="0.3">
      <c r="A120" s="1" t="s">
        <v>472</v>
      </c>
      <c r="B120" s="1" t="s">
        <v>685</v>
      </c>
      <c r="C120" s="1" t="s">
        <v>30</v>
      </c>
      <c r="D120" s="2">
        <v>45850</v>
      </c>
      <c r="E120" s="2">
        <v>45854</v>
      </c>
      <c r="F120">
        <v>57</v>
      </c>
      <c r="G120">
        <v>315</v>
      </c>
      <c r="H120">
        <v>17955</v>
      </c>
      <c r="I120" s="1" t="s">
        <v>646</v>
      </c>
      <c r="J120" t="str">
        <f>TEXT(clean_purchase_orders[[#This Row],[Order_Date]],"yyyy-mm")</f>
        <v>2025-07</v>
      </c>
    </row>
    <row r="121" spans="1:10" x14ac:dyDescent="0.3">
      <c r="A121" s="1" t="s">
        <v>474</v>
      </c>
      <c r="B121" s="1" t="s">
        <v>642</v>
      </c>
      <c r="C121" s="1" t="s">
        <v>24</v>
      </c>
      <c r="D121" s="2">
        <v>46127</v>
      </c>
      <c r="E121" s="2">
        <v>46137</v>
      </c>
      <c r="F121">
        <v>175</v>
      </c>
      <c r="G121">
        <v>63</v>
      </c>
      <c r="H121">
        <v>11025</v>
      </c>
      <c r="I121" s="1" t="s">
        <v>649</v>
      </c>
      <c r="J121" t="str">
        <f>TEXT(clean_purchase_orders[[#This Row],[Order_Date]],"yyyy-mm")</f>
        <v>2026-04</v>
      </c>
    </row>
    <row r="122" spans="1:10" x14ac:dyDescent="0.3">
      <c r="A122" s="1" t="s">
        <v>476</v>
      </c>
      <c r="B122" s="1" t="s">
        <v>651</v>
      </c>
      <c r="C122" s="1" t="s">
        <v>8</v>
      </c>
      <c r="D122" s="2">
        <v>45958</v>
      </c>
      <c r="E122" s="2">
        <v>45968</v>
      </c>
      <c r="F122">
        <v>233</v>
      </c>
      <c r="G122">
        <v>330</v>
      </c>
      <c r="H122">
        <v>76890</v>
      </c>
      <c r="I122" s="1" t="s">
        <v>643</v>
      </c>
      <c r="J122" t="str">
        <f>TEXT(clean_purchase_orders[[#This Row],[Order_Date]],"yyyy-mm")</f>
        <v>2025-10</v>
      </c>
    </row>
    <row r="123" spans="1:10" x14ac:dyDescent="0.3">
      <c r="A123" s="1" t="s">
        <v>478</v>
      </c>
      <c r="B123" s="1" t="s">
        <v>680</v>
      </c>
      <c r="C123" s="1" t="s">
        <v>14</v>
      </c>
      <c r="D123" s="2">
        <v>45935</v>
      </c>
      <c r="E123" s="2">
        <v>45947</v>
      </c>
      <c r="F123">
        <v>485</v>
      </c>
      <c r="G123">
        <v>246</v>
      </c>
      <c r="H123">
        <v>119310</v>
      </c>
      <c r="I123" s="1" t="s">
        <v>643</v>
      </c>
      <c r="J123" t="str">
        <f>TEXT(clean_purchase_orders[[#This Row],[Order_Date]],"yyyy-mm")</f>
        <v>2025-10</v>
      </c>
    </row>
    <row r="124" spans="1:10" x14ac:dyDescent="0.3">
      <c r="A124" s="1" t="s">
        <v>480</v>
      </c>
      <c r="B124" s="1" t="s">
        <v>662</v>
      </c>
      <c r="C124" s="1" t="s">
        <v>14</v>
      </c>
      <c r="D124" s="2">
        <v>45871</v>
      </c>
      <c r="E124" s="2">
        <v>45875</v>
      </c>
      <c r="F124">
        <v>311</v>
      </c>
      <c r="G124">
        <v>337</v>
      </c>
      <c r="H124">
        <v>104807</v>
      </c>
      <c r="I124" s="1" t="s">
        <v>649</v>
      </c>
      <c r="J124" t="str">
        <f>TEXT(clean_purchase_orders[[#This Row],[Order_Date]],"yyyy-mm")</f>
        <v>2025-08</v>
      </c>
    </row>
    <row r="125" spans="1:10" x14ac:dyDescent="0.3">
      <c r="A125" s="1" t="s">
        <v>482</v>
      </c>
      <c r="B125" s="1" t="s">
        <v>650</v>
      </c>
      <c r="C125" s="1" t="s">
        <v>19</v>
      </c>
      <c r="D125" s="2">
        <v>46171</v>
      </c>
      <c r="E125" s="2">
        <v>46180</v>
      </c>
      <c r="F125">
        <v>410</v>
      </c>
      <c r="G125">
        <v>126</v>
      </c>
      <c r="H125">
        <v>51660</v>
      </c>
      <c r="I125" s="1" t="s">
        <v>649</v>
      </c>
      <c r="J125" t="str">
        <f>TEXT(clean_purchase_orders[[#This Row],[Order_Date]],"yyyy-mm")</f>
        <v>2026-05</v>
      </c>
    </row>
    <row r="126" spans="1:10" x14ac:dyDescent="0.3">
      <c r="A126" s="1" t="s">
        <v>484</v>
      </c>
      <c r="B126" s="1" t="s">
        <v>683</v>
      </c>
      <c r="C126" s="1" t="s">
        <v>8</v>
      </c>
      <c r="D126" s="2">
        <v>46125</v>
      </c>
      <c r="E126" s="2">
        <v>46133</v>
      </c>
      <c r="F126">
        <v>100</v>
      </c>
      <c r="G126">
        <v>142</v>
      </c>
      <c r="H126">
        <v>14200</v>
      </c>
      <c r="I126" s="1" t="s">
        <v>646</v>
      </c>
      <c r="J126" t="str">
        <f>TEXT(clean_purchase_orders[[#This Row],[Order_Date]],"yyyy-mm")</f>
        <v>2026-04</v>
      </c>
    </row>
    <row r="127" spans="1:10" x14ac:dyDescent="0.3">
      <c r="A127" s="1" t="s">
        <v>486</v>
      </c>
      <c r="B127" s="1" t="s">
        <v>674</v>
      </c>
      <c r="C127" s="1" t="s">
        <v>14</v>
      </c>
      <c r="D127" s="2">
        <v>45913</v>
      </c>
      <c r="E127" s="2">
        <v>45930</v>
      </c>
      <c r="F127">
        <v>21</v>
      </c>
      <c r="G127">
        <v>229</v>
      </c>
      <c r="H127">
        <v>4809</v>
      </c>
      <c r="I127" s="1" t="s">
        <v>643</v>
      </c>
      <c r="J127" t="str">
        <f>TEXT(clean_purchase_orders[[#This Row],[Order_Date]],"yyyy-mm")</f>
        <v>2025-09</v>
      </c>
    </row>
    <row r="128" spans="1:10" x14ac:dyDescent="0.3">
      <c r="A128" s="1" t="s">
        <v>488</v>
      </c>
      <c r="B128" s="1" t="s">
        <v>665</v>
      </c>
      <c r="C128" s="1" t="s">
        <v>19</v>
      </c>
      <c r="D128" s="2">
        <v>45864</v>
      </c>
      <c r="E128" s="2">
        <v>45876</v>
      </c>
      <c r="F128">
        <v>36</v>
      </c>
      <c r="G128">
        <v>138</v>
      </c>
      <c r="H128">
        <v>4968</v>
      </c>
      <c r="I128" s="1" t="s">
        <v>649</v>
      </c>
      <c r="J128" t="str">
        <f>TEXT(clean_purchase_orders[[#This Row],[Order_Date]],"yyyy-mm")</f>
        <v>2025-07</v>
      </c>
    </row>
    <row r="129" spans="1:10" x14ac:dyDescent="0.3">
      <c r="A129" s="1" t="s">
        <v>490</v>
      </c>
      <c r="B129" s="1" t="s">
        <v>682</v>
      </c>
      <c r="C129" s="1" t="s">
        <v>19</v>
      </c>
      <c r="D129" s="2">
        <v>46141</v>
      </c>
      <c r="E129" s="2">
        <v>46151</v>
      </c>
      <c r="F129">
        <v>56</v>
      </c>
      <c r="G129">
        <v>371</v>
      </c>
      <c r="H129">
        <v>20776</v>
      </c>
      <c r="I129" s="1" t="s">
        <v>649</v>
      </c>
      <c r="J129" t="str">
        <f>TEXT(clean_purchase_orders[[#This Row],[Order_Date]],"yyyy-mm")</f>
        <v>2026-04</v>
      </c>
    </row>
    <row r="130" spans="1:10" x14ac:dyDescent="0.3">
      <c r="A130" s="1" t="s">
        <v>492</v>
      </c>
      <c r="B130" s="1" t="s">
        <v>656</v>
      </c>
      <c r="C130" s="1" t="s">
        <v>28</v>
      </c>
      <c r="D130" s="2">
        <v>45983</v>
      </c>
      <c r="E130" s="2">
        <v>45992</v>
      </c>
      <c r="F130">
        <v>358</v>
      </c>
      <c r="G130">
        <v>431</v>
      </c>
      <c r="H130">
        <v>154298</v>
      </c>
      <c r="I130" s="1" t="s">
        <v>646</v>
      </c>
      <c r="J130" t="str">
        <f>TEXT(clean_purchase_orders[[#This Row],[Order_Date]],"yyyy-mm")</f>
        <v>2025-11</v>
      </c>
    </row>
    <row r="131" spans="1:10" x14ac:dyDescent="0.3">
      <c r="A131" s="1" t="s">
        <v>494</v>
      </c>
      <c r="B131" s="1" t="s">
        <v>655</v>
      </c>
      <c r="C131" s="1" t="s">
        <v>19</v>
      </c>
      <c r="D131" s="2">
        <v>46144</v>
      </c>
      <c r="E131" s="2">
        <v>46151</v>
      </c>
      <c r="F131">
        <v>135</v>
      </c>
      <c r="G131">
        <v>351</v>
      </c>
      <c r="H131">
        <v>47385</v>
      </c>
      <c r="I131" s="1" t="s">
        <v>646</v>
      </c>
      <c r="J131" t="str">
        <f>TEXT(clean_purchase_orders[[#This Row],[Order_Date]],"yyyy-mm")</f>
        <v>2026-05</v>
      </c>
    </row>
    <row r="132" spans="1:10" x14ac:dyDescent="0.3">
      <c r="A132" s="1" t="s">
        <v>496</v>
      </c>
      <c r="B132" s="1" t="s">
        <v>658</v>
      </c>
      <c r="C132" s="1" t="s">
        <v>14</v>
      </c>
      <c r="D132" s="2">
        <v>45891</v>
      </c>
      <c r="E132" s="2">
        <v>45903</v>
      </c>
      <c r="F132">
        <v>50</v>
      </c>
      <c r="G132">
        <v>104</v>
      </c>
      <c r="H132">
        <v>5200</v>
      </c>
      <c r="I132" s="1" t="s">
        <v>649</v>
      </c>
      <c r="J132" t="str">
        <f>TEXT(clean_purchase_orders[[#This Row],[Order_Date]],"yyyy-mm")</f>
        <v>2025-08</v>
      </c>
    </row>
    <row r="133" spans="1:10" x14ac:dyDescent="0.3">
      <c r="A133" s="1" t="s">
        <v>498</v>
      </c>
      <c r="B133" s="1" t="s">
        <v>642</v>
      </c>
      <c r="C133" s="1" t="s">
        <v>24</v>
      </c>
      <c r="D133" s="2">
        <v>45950</v>
      </c>
      <c r="E133" s="2">
        <v>45967</v>
      </c>
      <c r="F133">
        <v>491</v>
      </c>
      <c r="G133">
        <v>167</v>
      </c>
      <c r="H133">
        <v>81997</v>
      </c>
      <c r="I133" s="1" t="s">
        <v>643</v>
      </c>
      <c r="J133" t="str">
        <f>TEXT(clean_purchase_orders[[#This Row],[Order_Date]],"yyyy-mm")</f>
        <v>2025-10</v>
      </c>
    </row>
    <row r="134" spans="1:10" x14ac:dyDescent="0.3">
      <c r="A134" s="1" t="s">
        <v>500</v>
      </c>
      <c r="B134" s="1" t="s">
        <v>688</v>
      </c>
      <c r="C134" s="1" t="s">
        <v>19</v>
      </c>
      <c r="D134" s="2">
        <v>46170</v>
      </c>
      <c r="E134" s="2">
        <v>46185</v>
      </c>
      <c r="F134">
        <v>175</v>
      </c>
      <c r="G134">
        <v>378</v>
      </c>
      <c r="H134">
        <v>66150</v>
      </c>
      <c r="I134" s="1" t="s">
        <v>649</v>
      </c>
      <c r="J134" t="str">
        <f>TEXT(clean_purchase_orders[[#This Row],[Order_Date]],"yyyy-mm")</f>
        <v>2026-05</v>
      </c>
    </row>
    <row r="135" spans="1:10" x14ac:dyDescent="0.3">
      <c r="A135" s="1" t="s">
        <v>502</v>
      </c>
      <c r="B135" s="1" t="s">
        <v>655</v>
      </c>
      <c r="C135" s="1" t="s">
        <v>14</v>
      </c>
      <c r="D135" s="2">
        <v>45868</v>
      </c>
      <c r="E135" s="2">
        <v>45873</v>
      </c>
      <c r="F135">
        <v>272</v>
      </c>
      <c r="G135">
        <v>244</v>
      </c>
      <c r="H135">
        <v>66368</v>
      </c>
      <c r="I135" s="1" t="s">
        <v>646</v>
      </c>
      <c r="J135" t="str">
        <f>TEXT(clean_purchase_orders[[#This Row],[Order_Date]],"yyyy-mm")</f>
        <v>2025-07</v>
      </c>
    </row>
    <row r="136" spans="1:10" x14ac:dyDescent="0.3">
      <c r="A136" s="1" t="s">
        <v>504</v>
      </c>
      <c r="B136" s="1" t="s">
        <v>654</v>
      </c>
      <c r="C136" s="1" t="s">
        <v>16</v>
      </c>
      <c r="D136" s="2">
        <v>46024</v>
      </c>
      <c r="E136" s="2">
        <v>46035</v>
      </c>
      <c r="F136">
        <v>396</v>
      </c>
      <c r="G136">
        <v>185</v>
      </c>
      <c r="H136">
        <v>73260</v>
      </c>
      <c r="I136" s="1" t="s">
        <v>646</v>
      </c>
      <c r="J136" t="str">
        <f>TEXT(clean_purchase_orders[[#This Row],[Order_Date]],"yyyy-mm")</f>
        <v>2026-01</v>
      </c>
    </row>
    <row r="137" spans="1:10" x14ac:dyDescent="0.3">
      <c r="A137" s="1" t="s">
        <v>506</v>
      </c>
      <c r="B137" s="1" t="s">
        <v>675</v>
      </c>
      <c r="C137" s="1" t="s">
        <v>19</v>
      </c>
      <c r="D137" s="2">
        <v>46045</v>
      </c>
      <c r="E137" s="2">
        <v>46048</v>
      </c>
      <c r="F137">
        <v>365</v>
      </c>
      <c r="G137">
        <v>448</v>
      </c>
      <c r="H137">
        <v>163520</v>
      </c>
      <c r="I137" s="1" t="s">
        <v>649</v>
      </c>
      <c r="J137" t="str">
        <f>TEXT(clean_purchase_orders[[#This Row],[Order_Date]],"yyyy-mm")</f>
        <v>2026-01</v>
      </c>
    </row>
    <row r="138" spans="1:10" x14ac:dyDescent="0.3">
      <c r="A138" s="1" t="s">
        <v>508</v>
      </c>
      <c r="B138" s="1" t="s">
        <v>670</v>
      </c>
      <c r="C138" s="1" t="s">
        <v>33</v>
      </c>
      <c r="D138" s="2">
        <v>45858</v>
      </c>
      <c r="E138" s="2">
        <v>45866</v>
      </c>
      <c r="F138">
        <v>410</v>
      </c>
      <c r="G138">
        <v>407</v>
      </c>
      <c r="H138">
        <v>166870</v>
      </c>
      <c r="I138" s="1" t="s">
        <v>649</v>
      </c>
      <c r="J138" t="str">
        <f>TEXT(clean_purchase_orders[[#This Row],[Order_Date]],"yyyy-mm")</f>
        <v>2025-07</v>
      </c>
    </row>
    <row r="139" spans="1:10" x14ac:dyDescent="0.3">
      <c r="A139" s="1" t="s">
        <v>510</v>
      </c>
      <c r="B139" s="1" t="s">
        <v>687</v>
      </c>
      <c r="C139" s="1" t="s">
        <v>30</v>
      </c>
      <c r="D139" s="2">
        <v>46190</v>
      </c>
      <c r="E139" s="2">
        <v>46201</v>
      </c>
      <c r="F139">
        <v>246</v>
      </c>
      <c r="G139">
        <v>489</v>
      </c>
      <c r="H139">
        <v>120294</v>
      </c>
      <c r="I139" s="1" t="s">
        <v>649</v>
      </c>
      <c r="J139" t="str">
        <f>TEXT(clean_purchase_orders[[#This Row],[Order_Date]],"yyyy-mm")</f>
        <v>2026-06</v>
      </c>
    </row>
    <row r="140" spans="1:10" x14ac:dyDescent="0.3">
      <c r="A140" s="1" t="s">
        <v>512</v>
      </c>
      <c r="B140" s="1" t="s">
        <v>654</v>
      </c>
      <c r="C140" s="1" t="s">
        <v>24</v>
      </c>
      <c r="D140" s="2">
        <v>45964</v>
      </c>
      <c r="E140" s="2">
        <v>45982</v>
      </c>
      <c r="F140">
        <v>345</v>
      </c>
      <c r="G140">
        <v>436</v>
      </c>
      <c r="H140">
        <v>150420</v>
      </c>
      <c r="I140" s="1" t="s">
        <v>643</v>
      </c>
      <c r="J140" t="str">
        <f>TEXT(clean_purchase_orders[[#This Row],[Order_Date]],"yyyy-mm")</f>
        <v>2025-11</v>
      </c>
    </row>
    <row r="141" spans="1:10" x14ac:dyDescent="0.3">
      <c r="A141" s="1" t="s">
        <v>514</v>
      </c>
      <c r="B141" s="1" t="s">
        <v>690</v>
      </c>
      <c r="C141" s="1" t="s">
        <v>24</v>
      </c>
      <c r="D141" s="2">
        <v>46198</v>
      </c>
      <c r="E141" s="2">
        <v>46211</v>
      </c>
      <c r="F141">
        <v>229</v>
      </c>
      <c r="G141">
        <v>190</v>
      </c>
      <c r="H141">
        <v>43510</v>
      </c>
      <c r="I141" s="1" t="s">
        <v>646</v>
      </c>
      <c r="J141" t="str">
        <f>TEXT(clean_purchase_orders[[#This Row],[Order_Date]],"yyyy-mm")</f>
        <v>2026-06</v>
      </c>
    </row>
    <row r="142" spans="1:10" x14ac:dyDescent="0.3">
      <c r="A142" s="1" t="s">
        <v>516</v>
      </c>
      <c r="B142" s="1" t="s">
        <v>673</v>
      </c>
      <c r="C142" s="1" t="s">
        <v>19</v>
      </c>
      <c r="D142" s="2">
        <v>46085</v>
      </c>
      <c r="E142" s="2">
        <v>46103</v>
      </c>
      <c r="F142">
        <v>230</v>
      </c>
      <c r="G142">
        <v>375</v>
      </c>
      <c r="H142">
        <v>86250</v>
      </c>
      <c r="I142" s="1" t="s">
        <v>649</v>
      </c>
      <c r="J142" t="str">
        <f>TEXT(clean_purchase_orders[[#This Row],[Order_Date]],"yyyy-mm")</f>
        <v>2026-03</v>
      </c>
    </row>
    <row r="143" spans="1:10" x14ac:dyDescent="0.3">
      <c r="A143" s="1" t="s">
        <v>518</v>
      </c>
      <c r="B143" s="1" t="s">
        <v>647</v>
      </c>
      <c r="C143" s="1" t="s">
        <v>16</v>
      </c>
      <c r="D143" s="2">
        <v>46025</v>
      </c>
      <c r="E143" s="2">
        <v>46045</v>
      </c>
      <c r="F143">
        <v>436</v>
      </c>
      <c r="G143">
        <v>409</v>
      </c>
      <c r="H143">
        <v>178324</v>
      </c>
      <c r="I143" s="1" t="s">
        <v>643</v>
      </c>
      <c r="J143" t="str">
        <f>TEXT(clean_purchase_orders[[#This Row],[Order_Date]],"yyyy-mm")</f>
        <v>2026-01</v>
      </c>
    </row>
    <row r="144" spans="1:10" x14ac:dyDescent="0.3">
      <c r="A144" s="1" t="s">
        <v>520</v>
      </c>
      <c r="B144" s="1" t="s">
        <v>683</v>
      </c>
      <c r="C144" s="1" t="s">
        <v>24</v>
      </c>
      <c r="D144" s="2">
        <v>46197</v>
      </c>
      <c r="E144" s="2">
        <v>46210</v>
      </c>
      <c r="F144">
        <v>181</v>
      </c>
      <c r="G144">
        <v>149</v>
      </c>
      <c r="H144">
        <v>26969</v>
      </c>
      <c r="I144" s="1" t="s">
        <v>643</v>
      </c>
      <c r="J144" t="str">
        <f>TEXT(clean_purchase_orders[[#This Row],[Order_Date]],"yyyy-mm")</f>
        <v>2026-06</v>
      </c>
    </row>
    <row r="145" spans="1:10" x14ac:dyDescent="0.3">
      <c r="A145" s="1" t="s">
        <v>522</v>
      </c>
      <c r="B145" s="1" t="s">
        <v>657</v>
      </c>
      <c r="C145" s="1" t="s">
        <v>33</v>
      </c>
      <c r="D145" s="2">
        <v>46198</v>
      </c>
      <c r="E145" s="2">
        <v>46218</v>
      </c>
      <c r="F145">
        <v>442</v>
      </c>
      <c r="G145">
        <v>20</v>
      </c>
      <c r="H145">
        <v>8840</v>
      </c>
      <c r="I145" s="1" t="s">
        <v>643</v>
      </c>
      <c r="J145" t="str">
        <f>TEXT(clean_purchase_orders[[#This Row],[Order_Date]],"yyyy-mm")</f>
        <v>2026-06</v>
      </c>
    </row>
    <row r="146" spans="1:10" x14ac:dyDescent="0.3">
      <c r="A146" s="1" t="s">
        <v>524</v>
      </c>
      <c r="B146" s="1" t="s">
        <v>667</v>
      </c>
      <c r="C146" s="1" t="s">
        <v>14</v>
      </c>
      <c r="D146" s="2">
        <v>45989</v>
      </c>
      <c r="E146" s="2">
        <v>46003</v>
      </c>
      <c r="F146">
        <v>116</v>
      </c>
      <c r="G146">
        <v>285</v>
      </c>
      <c r="H146">
        <v>33060</v>
      </c>
      <c r="I146" s="1" t="s">
        <v>643</v>
      </c>
      <c r="J146" t="str">
        <f>TEXT(clean_purchase_orders[[#This Row],[Order_Date]],"yyyy-mm")</f>
        <v>2025-11</v>
      </c>
    </row>
    <row r="147" spans="1:10" x14ac:dyDescent="0.3">
      <c r="A147" s="1" t="s">
        <v>526</v>
      </c>
      <c r="B147" s="1" t="s">
        <v>666</v>
      </c>
      <c r="C147" s="1" t="s">
        <v>46</v>
      </c>
      <c r="D147" s="2">
        <v>45983</v>
      </c>
      <c r="E147" s="2">
        <v>45987</v>
      </c>
      <c r="F147">
        <v>246</v>
      </c>
      <c r="G147">
        <v>409</v>
      </c>
      <c r="H147">
        <v>100614</v>
      </c>
      <c r="I147" s="1" t="s">
        <v>643</v>
      </c>
      <c r="J147" t="str">
        <f>TEXT(clean_purchase_orders[[#This Row],[Order_Date]],"yyyy-mm")</f>
        <v>2025-11</v>
      </c>
    </row>
    <row r="148" spans="1:10" x14ac:dyDescent="0.3">
      <c r="A148" s="1" t="s">
        <v>528</v>
      </c>
      <c r="B148" s="1" t="s">
        <v>663</v>
      </c>
      <c r="C148" s="1" t="s">
        <v>33</v>
      </c>
      <c r="D148" s="2">
        <v>45843</v>
      </c>
      <c r="E148" s="2">
        <v>45855</v>
      </c>
      <c r="F148">
        <v>87</v>
      </c>
      <c r="G148">
        <v>494</v>
      </c>
      <c r="H148">
        <v>42978</v>
      </c>
      <c r="I148" s="1" t="s">
        <v>649</v>
      </c>
      <c r="J148" t="str">
        <f>TEXT(clean_purchase_orders[[#This Row],[Order_Date]],"yyyy-mm")</f>
        <v>2025-07</v>
      </c>
    </row>
    <row r="149" spans="1:10" x14ac:dyDescent="0.3">
      <c r="A149" s="1" t="s">
        <v>530</v>
      </c>
      <c r="B149" s="1" t="s">
        <v>685</v>
      </c>
      <c r="C149" s="1" t="s">
        <v>30</v>
      </c>
      <c r="D149" s="2">
        <v>46172</v>
      </c>
      <c r="E149" s="2">
        <v>46182</v>
      </c>
      <c r="F149">
        <v>82</v>
      </c>
      <c r="G149">
        <v>34</v>
      </c>
      <c r="H149">
        <v>2788</v>
      </c>
      <c r="I149" s="1" t="s">
        <v>643</v>
      </c>
      <c r="J149" t="str">
        <f>TEXT(clean_purchase_orders[[#This Row],[Order_Date]],"yyyy-mm")</f>
        <v>2026-05</v>
      </c>
    </row>
    <row r="150" spans="1:10" x14ac:dyDescent="0.3">
      <c r="A150" s="1" t="s">
        <v>532</v>
      </c>
      <c r="B150" s="1" t="s">
        <v>663</v>
      </c>
      <c r="C150" s="1" t="s">
        <v>24</v>
      </c>
      <c r="D150" s="2">
        <v>46047</v>
      </c>
      <c r="E150" s="2">
        <v>46063</v>
      </c>
      <c r="F150">
        <v>27</v>
      </c>
      <c r="G150">
        <v>302</v>
      </c>
      <c r="H150">
        <v>8154</v>
      </c>
      <c r="I150" s="1" t="s">
        <v>646</v>
      </c>
      <c r="J150" t="str">
        <f>TEXT(clean_purchase_orders[[#This Row],[Order_Date]],"yyyy-mm")</f>
        <v>2026-01</v>
      </c>
    </row>
    <row r="151" spans="1:10" x14ac:dyDescent="0.3">
      <c r="A151" s="1" t="s">
        <v>534</v>
      </c>
      <c r="B151" s="1" t="s">
        <v>664</v>
      </c>
      <c r="C151" s="1" t="s">
        <v>33</v>
      </c>
      <c r="D151" s="2">
        <v>46050</v>
      </c>
      <c r="E151" s="2">
        <v>46057</v>
      </c>
      <c r="F151">
        <v>256</v>
      </c>
      <c r="G151">
        <v>80</v>
      </c>
      <c r="H151">
        <v>20480</v>
      </c>
      <c r="I151" s="1" t="s">
        <v>649</v>
      </c>
      <c r="J151" t="str">
        <f>TEXT(clean_purchase_orders[[#This Row],[Order_Date]],"yyyy-mm")</f>
        <v>2026-01</v>
      </c>
    </row>
    <row r="152" spans="1:10" x14ac:dyDescent="0.3">
      <c r="A152" s="1" t="s">
        <v>536</v>
      </c>
      <c r="B152" s="1" t="s">
        <v>665</v>
      </c>
      <c r="C152" s="1" t="s">
        <v>28</v>
      </c>
      <c r="D152" s="2">
        <v>46032</v>
      </c>
      <c r="E152" s="2">
        <v>46043</v>
      </c>
      <c r="F152">
        <v>280</v>
      </c>
      <c r="G152">
        <v>381</v>
      </c>
      <c r="H152">
        <v>106680</v>
      </c>
      <c r="I152" s="1" t="s">
        <v>643</v>
      </c>
      <c r="J152" t="str">
        <f>TEXT(clean_purchase_orders[[#This Row],[Order_Date]],"yyyy-mm")</f>
        <v>2026-01</v>
      </c>
    </row>
    <row r="153" spans="1:10" x14ac:dyDescent="0.3">
      <c r="A153" s="1" t="s">
        <v>538</v>
      </c>
      <c r="B153" s="1" t="s">
        <v>652</v>
      </c>
      <c r="C153" s="1" t="s">
        <v>30</v>
      </c>
      <c r="D153" s="2">
        <v>45889</v>
      </c>
      <c r="E153" s="2">
        <v>45909</v>
      </c>
      <c r="F153">
        <v>144</v>
      </c>
      <c r="G153">
        <v>253</v>
      </c>
      <c r="H153">
        <v>36432</v>
      </c>
      <c r="I153" s="1" t="s">
        <v>643</v>
      </c>
      <c r="J153" t="str">
        <f>TEXT(clean_purchase_orders[[#This Row],[Order_Date]],"yyyy-mm")</f>
        <v>2025-08</v>
      </c>
    </row>
    <row r="154" spans="1:10" x14ac:dyDescent="0.3">
      <c r="A154" s="1" t="s">
        <v>540</v>
      </c>
      <c r="B154" s="1" t="s">
        <v>644</v>
      </c>
      <c r="C154" s="1" t="s">
        <v>30</v>
      </c>
      <c r="D154" s="2">
        <v>45889</v>
      </c>
      <c r="E154" s="2">
        <v>45908</v>
      </c>
      <c r="F154">
        <v>491</v>
      </c>
      <c r="G154">
        <v>326</v>
      </c>
      <c r="H154">
        <v>160066</v>
      </c>
      <c r="I154" s="1" t="s">
        <v>646</v>
      </c>
      <c r="J154" t="str">
        <f>TEXT(clean_purchase_orders[[#This Row],[Order_Date]],"yyyy-mm")</f>
        <v>2025-08</v>
      </c>
    </row>
    <row r="155" spans="1:10" x14ac:dyDescent="0.3">
      <c r="A155" s="1" t="s">
        <v>542</v>
      </c>
      <c r="B155" s="1" t="s">
        <v>648</v>
      </c>
      <c r="C155" s="1" t="s">
        <v>11</v>
      </c>
      <c r="D155" s="2">
        <v>46189</v>
      </c>
      <c r="E155" s="2">
        <v>46205</v>
      </c>
      <c r="F155">
        <v>415</v>
      </c>
      <c r="G155">
        <v>424</v>
      </c>
      <c r="H155">
        <v>175960</v>
      </c>
      <c r="I155" s="1" t="s">
        <v>649</v>
      </c>
      <c r="J155" t="str">
        <f>TEXT(clean_purchase_orders[[#This Row],[Order_Date]],"yyyy-mm")</f>
        <v>2026-06</v>
      </c>
    </row>
    <row r="156" spans="1:10" x14ac:dyDescent="0.3">
      <c r="A156" s="1" t="s">
        <v>544</v>
      </c>
      <c r="B156" s="1" t="s">
        <v>648</v>
      </c>
      <c r="C156" s="1" t="s">
        <v>19</v>
      </c>
      <c r="D156" s="2">
        <v>46029</v>
      </c>
      <c r="E156" s="2">
        <v>46041</v>
      </c>
      <c r="F156">
        <v>440</v>
      </c>
      <c r="G156">
        <v>21</v>
      </c>
      <c r="H156">
        <v>9240</v>
      </c>
      <c r="I156" s="1" t="s">
        <v>649</v>
      </c>
      <c r="J156" t="str">
        <f>TEXT(clean_purchase_orders[[#This Row],[Order_Date]],"yyyy-mm")</f>
        <v>2026-01</v>
      </c>
    </row>
    <row r="157" spans="1:10" x14ac:dyDescent="0.3">
      <c r="A157" s="1" t="s">
        <v>546</v>
      </c>
      <c r="B157" s="1" t="s">
        <v>656</v>
      </c>
      <c r="C157" s="1" t="s">
        <v>33</v>
      </c>
      <c r="D157" s="2">
        <v>46144</v>
      </c>
      <c r="E157" s="2">
        <v>46151</v>
      </c>
      <c r="F157">
        <v>357</v>
      </c>
      <c r="G157">
        <v>270</v>
      </c>
      <c r="H157">
        <v>96390</v>
      </c>
      <c r="I157" s="1" t="s">
        <v>649</v>
      </c>
      <c r="J157" t="str">
        <f>TEXT(clean_purchase_orders[[#This Row],[Order_Date]],"yyyy-mm")</f>
        <v>2026-05</v>
      </c>
    </row>
    <row r="158" spans="1:10" x14ac:dyDescent="0.3">
      <c r="A158" s="1" t="s">
        <v>548</v>
      </c>
      <c r="B158" s="1" t="s">
        <v>652</v>
      </c>
      <c r="C158" s="1" t="s">
        <v>8</v>
      </c>
      <c r="D158" s="2">
        <v>46034</v>
      </c>
      <c r="E158" s="2">
        <v>46054</v>
      </c>
      <c r="F158">
        <v>196</v>
      </c>
      <c r="G158">
        <v>190</v>
      </c>
      <c r="H158">
        <v>37240</v>
      </c>
      <c r="I158" s="1" t="s">
        <v>643</v>
      </c>
      <c r="J158" t="str">
        <f>TEXT(clean_purchase_orders[[#This Row],[Order_Date]],"yyyy-mm")</f>
        <v>2026-01</v>
      </c>
    </row>
    <row r="159" spans="1:10" x14ac:dyDescent="0.3">
      <c r="A159" s="1" t="s">
        <v>550</v>
      </c>
      <c r="B159" s="1" t="s">
        <v>682</v>
      </c>
      <c r="C159" s="1" t="s">
        <v>46</v>
      </c>
      <c r="D159" s="2">
        <v>45979</v>
      </c>
      <c r="E159" s="2">
        <v>45988</v>
      </c>
      <c r="F159">
        <v>497</v>
      </c>
      <c r="G159">
        <v>184</v>
      </c>
      <c r="H159">
        <v>91448</v>
      </c>
      <c r="I159" s="1" t="s">
        <v>649</v>
      </c>
      <c r="J159" t="str">
        <f>TEXT(clean_purchase_orders[[#This Row],[Order_Date]],"yyyy-mm")</f>
        <v>2025-11</v>
      </c>
    </row>
    <row r="160" spans="1:10" x14ac:dyDescent="0.3">
      <c r="A160" s="1" t="s">
        <v>552</v>
      </c>
      <c r="B160" s="1" t="s">
        <v>653</v>
      </c>
      <c r="C160" s="1" t="s">
        <v>16</v>
      </c>
      <c r="D160" s="2">
        <v>45914</v>
      </c>
      <c r="E160" s="2">
        <v>45930</v>
      </c>
      <c r="F160">
        <v>139</v>
      </c>
      <c r="G160">
        <v>458</v>
      </c>
      <c r="H160">
        <v>63662</v>
      </c>
      <c r="I160" s="1" t="s">
        <v>643</v>
      </c>
      <c r="J160" t="str">
        <f>TEXT(clean_purchase_orders[[#This Row],[Order_Date]],"yyyy-mm")</f>
        <v>2025-09</v>
      </c>
    </row>
    <row r="161" spans="1:10" x14ac:dyDescent="0.3">
      <c r="A161" s="1" t="s">
        <v>554</v>
      </c>
      <c r="B161" s="1" t="s">
        <v>669</v>
      </c>
      <c r="C161" s="1" t="s">
        <v>28</v>
      </c>
      <c r="D161" s="2">
        <v>46045</v>
      </c>
      <c r="E161" s="2">
        <v>46060</v>
      </c>
      <c r="F161">
        <v>262</v>
      </c>
      <c r="G161">
        <v>381</v>
      </c>
      <c r="H161">
        <v>99822</v>
      </c>
      <c r="I161" s="1" t="s">
        <v>649</v>
      </c>
      <c r="J161" t="str">
        <f>TEXT(clean_purchase_orders[[#This Row],[Order_Date]],"yyyy-mm")</f>
        <v>2026-01</v>
      </c>
    </row>
    <row r="162" spans="1:10" x14ac:dyDescent="0.3">
      <c r="A162" s="1" t="s">
        <v>556</v>
      </c>
      <c r="B162" s="1" t="s">
        <v>687</v>
      </c>
      <c r="C162" s="1" t="s">
        <v>30</v>
      </c>
      <c r="D162" s="2">
        <v>45901</v>
      </c>
      <c r="E162" s="2">
        <v>45905</v>
      </c>
      <c r="F162">
        <v>97</v>
      </c>
      <c r="G162">
        <v>273</v>
      </c>
      <c r="H162">
        <v>26481</v>
      </c>
      <c r="I162" s="1" t="s">
        <v>649</v>
      </c>
      <c r="J162" t="str">
        <f>TEXT(clean_purchase_orders[[#This Row],[Order_Date]],"yyyy-mm")</f>
        <v>2025-09</v>
      </c>
    </row>
    <row r="163" spans="1:10" x14ac:dyDescent="0.3">
      <c r="A163" s="1" t="s">
        <v>558</v>
      </c>
      <c r="B163" s="1" t="s">
        <v>656</v>
      </c>
      <c r="C163" s="1" t="s">
        <v>33</v>
      </c>
      <c r="D163" s="2">
        <v>45851</v>
      </c>
      <c r="E163" s="2">
        <v>45857</v>
      </c>
      <c r="F163">
        <v>189</v>
      </c>
      <c r="G163">
        <v>465</v>
      </c>
      <c r="H163">
        <v>87885</v>
      </c>
      <c r="I163" s="1" t="s">
        <v>646</v>
      </c>
      <c r="J163" t="str">
        <f>TEXT(clean_purchase_orders[[#This Row],[Order_Date]],"yyyy-mm")</f>
        <v>2025-07</v>
      </c>
    </row>
    <row r="164" spans="1:10" x14ac:dyDescent="0.3">
      <c r="A164" s="1" t="s">
        <v>560</v>
      </c>
      <c r="B164" s="1" t="s">
        <v>677</v>
      </c>
      <c r="C164" s="1" t="s">
        <v>30</v>
      </c>
      <c r="D164" s="2">
        <v>45926</v>
      </c>
      <c r="E164" s="2">
        <v>45929</v>
      </c>
      <c r="F164">
        <v>486</v>
      </c>
      <c r="G164">
        <v>253</v>
      </c>
      <c r="H164">
        <v>122958</v>
      </c>
      <c r="I164" s="1" t="s">
        <v>643</v>
      </c>
      <c r="J164" t="str">
        <f>TEXT(clean_purchase_orders[[#This Row],[Order_Date]],"yyyy-mm")</f>
        <v>2025-09</v>
      </c>
    </row>
    <row r="165" spans="1:10" x14ac:dyDescent="0.3">
      <c r="A165" s="1" t="s">
        <v>562</v>
      </c>
      <c r="B165" s="1" t="s">
        <v>687</v>
      </c>
      <c r="C165" s="1" t="s">
        <v>19</v>
      </c>
      <c r="D165" s="2">
        <v>46019</v>
      </c>
      <c r="E165" s="2">
        <v>46037</v>
      </c>
      <c r="F165">
        <v>99</v>
      </c>
      <c r="G165">
        <v>58</v>
      </c>
      <c r="H165">
        <v>5742</v>
      </c>
      <c r="I165" s="1" t="s">
        <v>643</v>
      </c>
      <c r="J165" t="str">
        <f>TEXT(clean_purchase_orders[[#This Row],[Order_Date]],"yyyy-mm")</f>
        <v>2025-12</v>
      </c>
    </row>
    <row r="166" spans="1:10" x14ac:dyDescent="0.3">
      <c r="A166" s="1" t="s">
        <v>564</v>
      </c>
      <c r="B166" s="1" t="s">
        <v>691</v>
      </c>
      <c r="C166" s="1" t="s">
        <v>11</v>
      </c>
      <c r="D166" s="2">
        <v>46007</v>
      </c>
      <c r="E166" s="2">
        <v>46012</v>
      </c>
      <c r="F166">
        <v>374</v>
      </c>
      <c r="G166">
        <v>223</v>
      </c>
      <c r="H166">
        <v>83402</v>
      </c>
      <c r="I166" s="1" t="s">
        <v>649</v>
      </c>
      <c r="J166" t="str">
        <f>TEXT(clean_purchase_orders[[#This Row],[Order_Date]],"yyyy-mm")</f>
        <v>2025-12</v>
      </c>
    </row>
    <row r="167" spans="1:10" x14ac:dyDescent="0.3">
      <c r="A167" s="1" t="s">
        <v>566</v>
      </c>
      <c r="B167" s="1" t="s">
        <v>655</v>
      </c>
      <c r="C167" s="1" t="s">
        <v>8</v>
      </c>
      <c r="D167" s="2">
        <v>45956</v>
      </c>
      <c r="E167" s="2">
        <v>45974</v>
      </c>
      <c r="F167">
        <v>214</v>
      </c>
      <c r="G167">
        <v>182</v>
      </c>
      <c r="H167">
        <v>38948</v>
      </c>
      <c r="I167" s="1" t="s">
        <v>646</v>
      </c>
      <c r="J167" t="str">
        <f>TEXT(clean_purchase_orders[[#This Row],[Order_Date]],"yyyy-mm")</f>
        <v>2025-10</v>
      </c>
    </row>
    <row r="168" spans="1:10" x14ac:dyDescent="0.3">
      <c r="A168" s="1" t="s">
        <v>568</v>
      </c>
      <c r="B168" s="1" t="s">
        <v>691</v>
      </c>
      <c r="C168" s="1" t="s">
        <v>46</v>
      </c>
      <c r="D168" s="2">
        <v>46078</v>
      </c>
      <c r="E168" s="2">
        <v>46090</v>
      </c>
      <c r="F168">
        <v>55</v>
      </c>
      <c r="G168">
        <v>140</v>
      </c>
      <c r="H168">
        <v>7700</v>
      </c>
      <c r="I168" s="1" t="s">
        <v>649</v>
      </c>
      <c r="J168" t="str">
        <f>TEXT(clean_purchase_orders[[#This Row],[Order_Date]],"yyyy-mm")</f>
        <v>2026-02</v>
      </c>
    </row>
    <row r="169" spans="1:10" x14ac:dyDescent="0.3">
      <c r="A169" s="1" t="s">
        <v>570</v>
      </c>
      <c r="B169" s="1" t="s">
        <v>683</v>
      </c>
      <c r="C169" s="1" t="s">
        <v>33</v>
      </c>
      <c r="D169" s="2">
        <v>45991</v>
      </c>
      <c r="E169" s="2">
        <v>45997</v>
      </c>
      <c r="F169">
        <v>242</v>
      </c>
      <c r="G169">
        <v>70</v>
      </c>
      <c r="H169">
        <v>16940</v>
      </c>
      <c r="I169" s="1" t="s">
        <v>646</v>
      </c>
      <c r="J169" t="str">
        <f>TEXT(clean_purchase_orders[[#This Row],[Order_Date]],"yyyy-mm")</f>
        <v>2025-11</v>
      </c>
    </row>
    <row r="170" spans="1:10" x14ac:dyDescent="0.3">
      <c r="A170" s="1" t="s">
        <v>572</v>
      </c>
      <c r="B170" s="1" t="s">
        <v>688</v>
      </c>
      <c r="C170" s="1" t="s">
        <v>16</v>
      </c>
      <c r="D170" s="2">
        <v>45854</v>
      </c>
      <c r="E170" s="2">
        <v>45857</v>
      </c>
      <c r="F170">
        <v>173</v>
      </c>
      <c r="G170">
        <v>482</v>
      </c>
      <c r="H170">
        <v>83386</v>
      </c>
      <c r="I170" s="1" t="s">
        <v>643</v>
      </c>
      <c r="J170" t="str">
        <f>TEXT(clean_purchase_orders[[#This Row],[Order_Date]],"yyyy-mm")</f>
        <v>2025-07</v>
      </c>
    </row>
    <row r="171" spans="1:10" x14ac:dyDescent="0.3">
      <c r="A171" s="1" t="s">
        <v>574</v>
      </c>
      <c r="B171" s="1" t="s">
        <v>667</v>
      </c>
      <c r="C171" s="1" t="s">
        <v>28</v>
      </c>
      <c r="D171" s="2">
        <v>46041</v>
      </c>
      <c r="E171" s="2">
        <v>46055</v>
      </c>
      <c r="F171">
        <v>170</v>
      </c>
      <c r="G171">
        <v>203</v>
      </c>
      <c r="H171">
        <v>34510</v>
      </c>
      <c r="I171" s="1" t="s">
        <v>646</v>
      </c>
      <c r="J171" t="str">
        <f>TEXT(clean_purchase_orders[[#This Row],[Order_Date]],"yyyy-mm")</f>
        <v>2026-01</v>
      </c>
    </row>
    <row r="172" spans="1:10" x14ac:dyDescent="0.3">
      <c r="A172" s="1" t="s">
        <v>576</v>
      </c>
      <c r="B172" s="1" t="s">
        <v>681</v>
      </c>
      <c r="C172" s="1" t="s">
        <v>30</v>
      </c>
      <c r="D172" s="2">
        <v>46179</v>
      </c>
      <c r="E172" s="2">
        <v>46187</v>
      </c>
      <c r="F172">
        <v>291</v>
      </c>
      <c r="G172">
        <v>230</v>
      </c>
      <c r="H172">
        <v>66930</v>
      </c>
      <c r="I172" s="1" t="s">
        <v>646</v>
      </c>
      <c r="J172" t="str">
        <f>TEXT(clean_purchase_orders[[#This Row],[Order_Date]],"yyyy-mm")</f>
        <v>2026-06</v>
      </c>
    </row>
    <row r="173" spans="1:10" x14ac:dyDescent="0.3">
      <c r="A173" s="1" t="s">
        <v>578</v>
      </c>
      <c r="B173" s="1" t="s">
        <v>683</v>
      </c>
      <c r="C173" s="1" t="s">
        <v>14</v>
      </c>
      <c r="D173" s="2">
        <v>45900</v>
      </c>
      <c r="E173" s="2">
        <v>45915</v>
      </c>
      <c r="F173">
        <v>332</v>
      </c>
      <c r="G173">
        <v>465</v>
      </c>
      <c r="H173">
        <v>154380</v>
      </c>
      <c r="I173" s="1" t="s">
        <v>649</v>
      </c>
      <c r="J173" t="str">
        <f>TEXT(clean_purchase_orders[[#This Row],[Order_Date]],"yyyy-mm")</f>
        <v>2025-08</v>
      </c>
    </row>
    <row r="174" spans="1:10" x14ac:dyDescent="0.3">
      <c r="A174" s="1" t="s">
        <v>580</v>
      </c>
      <c r="B174" s="1" t="s">
        <v>681</v>
      </c>
      <c r="C174" s="1" t="s">
        <v>46</v>
      </c>
      <c r="D174" s="2">
        <v>46172</v>
      </c>
      <c r="E174" s="2">
        <v>46179</v>
      </c>
      <c r="F174">
        <v>274</v>
      </c>
      <c r="G174">
        <v>487</v>
      </c>
      <c r="H174">
        <v>133438</v>
      </c>
      <c r="I174" s="1" t="s">
        <v>643</v>
      </c>
      <c r="J174" t="str">
        <f>TEXT(clean_purchase_orders[[#This Row],[Order_Date]],"yyyy-mm")</f>
        <v>2026-05</v>
      </c>
    </row>
    <row r="175" spans="1:10" x14ac:dyDescent="0.3">
      <c r="A175" s="1" t="s">
        <v>582</v>
      </c>
      <c r="B175" s="1" t="s">
        <v>666</v>
      </c>
      <c r="C175" s="1" t="s">
        <v>16</v>
      </c>
      <c r="D175" s="2">
        <v>45864</v>
      </c>
      <c r="E175" s="2">
        <v>45875</v>
      </c>
      <c r="F175">
        <v>150</v>
      </c>
      <c r="G175">
        <v>255</v>
      </c>
      <c r="H175">
        <v>38250</v>
      </c>
      <c r="I175" s="1" t="s">
        <v>643</v>
      </c>
      <c r="J175" t="str">
        <f>TEXT(clean_purchase_orders[[#This Row],[Order_Date]],"yyyy-mm")</f>
        <v>2025-07</v>
      </c>
    </row>
    <row r="176" spans="1:10" x14ac:dyDescent="0.3">
      <c r="A176" s="1" t="s">
        <v>584</v>
      </c>
      <c r="B176" s="1" t="s">
        <v>665</v>
      </c>
      <c r="C176" s="1" t="s">
        <v>24</v>
      </c>
      <c r="D176" s="2">
        <v>45852</v>
      </c>
      <c r="E176" s="2">
        <v>45860</v>
      </c>
      <c r="F176">
        <v>366</v>
      </c>
      <c r="G176">
        <v>299</v>
      </c>
      <c r="H176">
        <v>109434</v>
      </c>
      <c r="I176" s="1" t="s">
        <v>643</v>
      </c>
      <c r="J176" t="str">
        <f>TEXT(clean_purchase_orders[[#This Row],[Order_Date]],"yyyy-mm")</f>
        <v>2025-07</v>
      </c>
    </row>
    <row r="177" spans="1:10" x14ac:dyDescent="0.3">
      <c r="A177" s="1" t="s">
        <v>586</v>
      </c>
      <c r="B177" s="1" t="s">
        <v>690</v>
      </c>
      <c r="C177" s="1" t="s">
        <v>19</v>
      </c>
      <c r="D177" s="2">
        <v>46029</v>
      </c>
      <c r="E177" s="2">
        <v>46045</v>
      </c>
      <c r="F177">
        <v>320</v>
      </c>
      <c r="G177">
        <v>173</v>
      </c>
      <c r="H177">
        <v>55360</v>
      </c>
      <c r="I177" s="1" t="s">
        <v>643</v>
      </c>
      <c r="J177" t="str">
        <f>TEXT(clean_purchase_orders[[#This Row],[Order_Date]],"yyyy-mm")</f>
        <v>2026-01</v>
      </c>
    </row>
    <row r="178" spans="1:10" x14ac:dyDescent="0.3">
      <c r="A178" s="1" t="s">
        <v>588</v>
      </c>
      <c r="B178" s="1" t="s">
        <v>662</v>
      </c>
      <c r="C178" s="1" t="s">
        <v>24</v>
      </c>
      <c r="D178" s="2">
        <v>46038</v>
      </c>
      <c r="E178" s="2">
        <v>46056</v>
      </c>
      <c r="F178">
        <v>121</v>
      </c>
      <c r="G178">
        <v>216</v>
      </c>
      <c r="H178">
        <v>26136</v>
      </c>
      <c r="I178" s="1" t="s">
        <v>646</v>
      </c>
      <c r="J178" t="str">
        <f>TEXT(clean_purchase_orders[[#This Row],[Order_Date]],"yyyy-mm")</f>
        <v>2026-01</v>
      </c>
    </row>
    <row r="179" spans="1:10" x14ac:dyDescent="0.3">
      <c r="A179" s="1" t="s">
        <v>590</v>
      </c>
      <c r="B179" s="1" t="s">
        <v>653</v>
      </c>
      <c r="C179" s="1" t="s">
        <v>19</v>
      </c>
      <c r="D179" s="2">
        <v>46066</v>
      </c>
      <c r="E179" s="2">
        <v>46078</v>
      </c>
      <c r="F179">
        <v>312</v>
      </c>
      <c r="G179">
        <v>203</v>
      </c>
      <c r="H179">
        <v>63336</v>
      </c>
      <c r="I179" s="1" t="s">
        <v>646</v>
      </c>
      <c r="J179" t="str">
        <f>TEXT(clean_purchase_orders[[#This Row],[Order_Date]],"yyyy-mm")</f>
        <v>2026-02</v>
      </c>
    </row>
    <row r="180" spans="1:10" x14ac:dyDescent="0.3">
      <c r="A180" s="1" t="s">
        <v>592</v>
      </c>
      <c r="B180" s="1" t="s">
        <v>678</v>
      </c>
      <c r="C180" s="1" t="s">
        <v>14</v>
      </c>
      <c r="D180" s="2">
        <v>46002</v>
      </c>
      <c r="E180" s="2">
        <v>46005</v>
      </c>
      <c r="F180">
        <v>222</v>
      </c>
      <c r="G180">
        <v>160</v>
      </c>
      <c r="H180">
        <v>35520</v>
      </c>
      <c r="I180" s="1" t="s">
        <v>649</v>
      </c>
      <c r="J180" t="str">
        <f>TEXT(clean_purchase_orders[[#This Row],[Order_Date]],"yyyy-mm")</f>
        <v>2025-12</v>
      </c>
    </row>
    <row r="181" spans="1:10" x14ac:dyDescent="0.3">
      <c r="A181" s="1" t="s">
        <v>594</v>
      </c>
      <c r="B181" s="1" t="s">
        <v>689</v>
      </c>
      <c r="C181" s="1" t="s">
        <v>19</v>
      </c>
      <c r="D181" s="2">
        <v>45864</v>
      </c>
      <c r="E181" s="2">
        <v>45882</v>
      </c>
      <c r="F181">
        <v>401</v>
      </c>
      <c r="G181">
        <v>45</v>
      </c>
      <c r="H181">
        <v>18045</v>
      </c>
      <c r="I181" s="1" t="s">
        <v>646</v>
      </c>
      <c r="J181" t="str">
        <f>TEXT(clean_purchase_orders[[#This Row],[Order_Date]],"yyyy-mm")</f>
        <v>2025-07</v>
      </c>
    </row>
    <row r="182" spans="1:10" x14ac:dyDescent="0.3">
      <c r="A182" s="1" t="s">
        <v>596</v>
      </c>
      <c r="B182" s="1" t="s">
        <v>692</v>
      </c>
      <c r="C182" s="1" t="s">
        <v>46</v>
      </c>
      <c r="D182" s="2">
        <v>46162</v>
      </c>
      <c r="E182" s="2">
        <v>46172</v>
      </c>
      <c r="F182">
        <v>430</v>
      </c>
      <c r="G182">
        <v>200</v>
      </c>
      <c r="H182">
        <v>86000</v>
      </c>
      <c r="I182" s="1" t="s">
        <v>649</v>
      </c>
      <c r="J182" t="str">
        <f>TEXT(clean_purchase_orders[[#This Row],[Order_Date]],"yyyy-mm")</f>
        <v>2026-05</v>
      </c>
    </row>
    <row r="183" spans="1:10" x14ac:dyDescent="0.3">
      <c r="A183" s="1" t="s">
        <v>598</v>
      </c>
      <c r="B183" s="1" t="s">
        <v>660</v>
      </c>
      <c r="C183" s="1" t="s">
        <v>24</v>
      </c>
      <c r="D183" s="2">
        <v>46108</v>
      </c>
      <c r="E183" s="2">
        <v>46115</v>
      </c>
      <c r="F183">
        <v>367</v>
      </c>
      <c r="G183">
        <v>406</v>
      </c>
      <c r="H183">
        <v>149002</v>
      </c>
      <c r="I183" s="1" t="s">
        <v>649</v>
      </c>
      <c r="J183" t="str">
        <f>TEXT(clean_purchase_orders[[#This Row],[Order_Date]],"yyyy-mm")</f>
        <v>2026-03</v>
      </c>
    </row>
    <row r="184" spans="1:10" x14ac:dyDescent="0.3">
      <c r="A184" s="1" t="s">
        <v>600</v>
      </c>
      <c r="B184" s="1" t="s">
        <v>687</v>
      </c>
      <c r="C184" s="1" t="s">
        <v>16</v>
      </c>
      <c r="D184" s="2">
        <v>46130</v>
      </c>
      <c r="E184" s="2">
        <v>46147</v>
      </c>
      <c r="F184">
        <v>40</v>
      </c>
      <c r="G184">
        <v>178</v>
      </c>
      <c r="H184">
        <v>7120</v>
      </c>
      <c r="I184" s="1" t="s">
        <v>649</v>
      </c>
      <c r="J184" t="str">
        <f>TEXT(clean_purchase_orders[[#This Row],[Order_Date]],"yyyy-mm")</f>
        <v>2026-04</v>
      </c>
    </row>
    <row r="185" spans="1:10" x14ac:dyDescent="0.3">
      <c r="A185" s="1" t="s">
        <v>602</v>
      </c>
      <c r="B185" s="1" t="s">
        <v>661</v>
      </c>
      <c r="C185" s="1" t="s">
        <v>19</v>
      </c>
      <c r="D185" s="2">
        <v>45885</v>
      </c>
      <c r="E185" s="2">
        <v>45890</v>
      </c>
      <c r="F185">
        <v>394</v>
      </c>
      <c r="G185">
        <v>87</v>
      </c>
      <c r="H185">
        <v>34278</v>
      </c>
      <c r="I185" s="1" t="s">
        <v>643</v>
      </c>
      <c r="J185" t="str">
        <f>TEXT(clean_purchase_orders[[#This Row],[Order_Date]],"yyyy-mm")</f>
        <v>2025-08</v>
      </c>
    </row>
    <row r="186" spans="1:10" x14ac:dyDescent="0.3">
      <c r="A186" s="1" t="s">
        <v>604</v>
      </c>
      <c r="B186" s="1" t="s">
        <v>669</v>
      </c>
      <c r="C186" s="1" t="s">
        <v>30</v>
      </c>
      <c r="D186" s="2">
        <v>46178</v>
      </c>
      <c r="E186" s="2">
        <v>46187</v>
      </c>
      <c r="F186">
        <v>232</v>
      </c>
      <c r="G186">
        <v>109</v>
      </c>
      <c r="H186">
        <v>25288</v>
      </c>
      <c r="I186" s="1" t="s">
        <v>649</v>
      </c>
      <c r="J186" t="str">
        <f>TEXT(clean_purchase_orders[[#This Row],[Order_Date]],"yyyy-mm")</f>
        <v>2026-06</v>
      </c>
    </row>
    <row r="187" spans="1:10" x14ac:dyDescent="0.3">
      <c r="A187" s="1" t="s">
        <v>606</v>
      </c>
      <c r="B187" s="1" t="s">
        <v>661</v>
      </c>
      <c r="C187" s="1" t="s">
        <v>30</v>
      </c>
      <c r="D187" s="2">
        <v>45939</v>
      </c>
      <c r="E187" s="2">
        <v>45950</v>
      </c>
      <c r="F187">
        <v>291</v>
      </c>
      <c r="G187">
        <v>276</v>
      </c>
      <c r="H187">
        <v>80316</v>
      </c>
      <c r="I187" s="1" t="s">
        <v>643</v>
      </c>
      <c r="J187" t="str">
        <f>TEXT(clean_purchase_orders[[#This Row],[Order_Date]],"yyyy-mm")</f>
        <v>2025-10</v>
      </c>
    </row>
    <row r="188" spans="1:10" x14ac:dyDescent="0.3">
      <c r="A188" s="1" t="s">
        <v>608</v>
      </c>
      <c r="B188" s="1" t="s">
        <v>652</v>
      </c>
      <c r="C188" s="1" t="s">
        <v>24</v>
      </c>
      <c r="D188" s="2">
        <v>45905</v>
      </c>
      <c r="E188" s="2">
        <v>45918</v>
      </c>
      <c r="F188">
        <v>432</v>
      </c>
      <c r="G188">
        <v>171</v>
      </c>
      <c r="H188">
        <v>73872</v>
      </c>
      <c r="I188" s="1" t="s">
        <v>643</v>
      </c>
      <c r="J188" t="str">
        <f>TEXT(clean_purchase_orders[[#This Row],[Order_Date]],"yyyy-mm")</f>
        <v>2025-09</v>
      </c>
    </row>
    <row r="189" spans="1:10" x14ac:dyDescent="0.3">
      <c r="A189" s="1" t="s">
        <v>610</v>
      </c>
      <c r="B189" s="1" t="s">
        <v>658</v>
      </c>
      <c r="C189" s="1" t="s">
        <v>28</v>
      </c>
      <c r="D189" s="2">
        <v>46168</v>
      </c>
      <c r="E189" s="2">
        <v>46178</v>
      </c>
      <c r="F189">
        <v>92</v>
      </c>
      <c r="G189">
        <v>406</v>
      </c>
      <c r="H189">
        <v>37352</v>
      </c>
      <c r="I189" s="1" t="s">
        <v>649</v>
      </c>
      <c r="J189" t="str">
        <f>TEXT(clean_purchase_orders[[#This Row],[Order_Date]],"yyyy-mm")</f>
        <v>2026-05</v>
      </c>
    </row>
    <row r="190" spans="1:10" x14ac:dyDescent="0.3">
      <c r="A190" s="1" t="s">
        <v>612</v>
      </c>
      <c r="B190" s="1" t="s">
        <v>661</v>
      </c>
      <c r="C190" s="1" t="s">
        <v>16</v>
      </c>
      <c r="D190" s="2">
        <v>46134</v>
      </c>
      <c r="E190" s="2">
        <v>46149</v>
      </c>
      <c r="F190">
        <v>66</v>
      </c>
      <c r="G190">
        <v>424</v>
      </c>
      <c r="H190">
        <v>27984</v>
      </c>
      <c r="I190" s="1" t="s">
        <v>643</v>
      </c>
      <c r="J190" t="str">
        <f>TEXT(clean_purchase_orders[[#This Row],[Order_Date]],"yyyy-mm")</f>
        <v>2026-04</v>
      </c>
    </row>
    <row r="191" spans="1:10" x14ac:dyDescent="0.3">
      <c r="A191" s="1" t="s">
        <v>614</v>
      </c>
      <c r="B191" s="1" t="s">
        <v>655</v>
      </c>
      <c r="C191" s="1" t="s">
        <v>19</v>
      </c>
      <c r="D191" s="2">
        <v>45869</v>
      </c>
      <c r="E191" s="2">
        <v>45883</v>
      </c>
      <c r="F191">
        <v>83</v>
      </c>
      <c r="G191">
        <v>252</v>
      </c>
      <c r="H191">
        <v>20916</v>
      </c>
      <c r="I191" s="1" t="s">
        <v>649</v>
      </c>
      <c r="J191" t="str">
        <f>TEXT(clean_purchase_orders[[#This Row],[Order_Date]],"yyyy-mm")</f>
        <v>2025-07</v>
      </c>
    </row>
    <row r="192" spans="1:10" x14ac:dyDescent="0.3">
      <c r="A192" s="1" t="s">
        <v>616</v>
      </c>
      <c r="B192" s="1" t="s">
        <v>653</v>
      </c>
      <c r="C192" s="1" t="s">
        <v>24</v>
      </c>
      <c r="D192" s="2">
        <v>46101</v>
      </c>
      <c r="E192" s="2">
        <v>46115</v>
      </c>
      <c r="F192">
        <v>441</v>
      </c>
      <c r="G192">
        <v>346</v>
      </c>
      <c r="H192">
        <v>152586</v>
      </c>
      <c r="I192" s="1" t="s">
        <v>649</v>
      </c>
      <c r="J192" t="str">
        <f>TEXT(clean_purchase_orders[[#This Row],[Order_Date]],"yyyy-mm")</f>
        <v>2026-03</v>
      </c>
    </row>
    <row r="193" spans="1:10" x14ac:dyDescent="0.3">
      <c r="A193" s="1" t="s">
        <v>618</v>
      </c>
      <c r="B193" s="1" t="s">
        <v>675</v>
      </c>
      <c r="C193" s="1" t="s">
        <v>11</v>
      </c>
      <c r="D193" s="2">
        <v>46020</v>
      </c>
      <c r="E193" s="2">
        <v>46040</v>
      </c>
      <c r="F193">
        <v>261</v>
      </c>
      <c r="G193">
        <v>32</v>
      </c>
      <c r="H193">
        <v>8352</v>
      </c>
      <c r="I193" s="1" t="s">
        <v>649</v>
      </c>
      <c r="J193" t="str">
        <f>TEXT(clean_purchase_orders[[#This Row],[Order_Date]],"yyyy-mm")</f>
        <v>2025-12</v>
      </c>
    </row>
    <row r="194" spans="1:10" x14ac:dyDescent="0.3">
      <c r="A194" s="1" t="s">
        <v>620</v>
      </c>
      <c r="B194" s="1" t="s">
        <v>675</v>
      </c>
      <c r="C194" s="1" t="s">
        <v>19</v>
      </c>
      <c r="D194" s="2">
        <v>45982</v>
      </c>
      <c r="E194" s="2">
        <v>45999</v>
      </c>
      <c r="F194">
        <v>351</v>
      </c>
      <c r="G194">
        <v>52</v>
      </c>
      <c r="H194">
        <v>18252</v>
      </c>
      <c r="I194" s="1" t="s">
        <v>649</v>
      </c>
      <c r="J194" t="str">
        <f>TEXT(clean_purchase_orders[[#This Row],[Order_Date]],"yyyy-mm")</f>
        <v>2025-11</v>
      </c>
    </row>
    <row r="195" spans="1:10" x14ac:dyDescent="0.3">
      <c r="A195" s="1" t="s">
        <v>622</v>
      </c>
      <c r="B195" s="1" t="s">
        <v>645</v>
      </c>
      <c r="C195" s="1" t="s">
        <v>16</v>
      </c>
      <c r="D195" s="2">
        <v>46018</v>
      </c>
      <c r="E195" s="2">
        <v>46022</v>
      </c>
      <c r="F195">
        <v>79</v>
      </c>
      <c r="G195">
        <v>91</v>
      </c>
      <c r="H195">
        <v>7189</v>
      </c>
      <c r="I195" s="1" t="s">
        <v>643</v>
      </c>
      <c r="J195" t="str">
        <f>TEXT(clean_purchase_orders[[#This Row],[Order_Date]],"yyyy-mm")</f>
        <v>2025-12</v>
      </c>
    </row>
    <row r="196" spans="1:10" x14ac:dyDescent="0.3">
      <c r="A196" s="1" t="s">
        <v>624</v>
      </c>
      <c r="B196" s="1" t="s">
        <v>685</v>
      </c>
      <c r="C196" s="1" t="s">
        <v>8</v>
      </c>
      <c r="D196" s="2">
        <v>45999</v>
      </c>
      <c r="E196" s="2">
        <v>46009</v>
      </c>
      <c r="F196">
        <v>79</v>
      </c>
      <c r="G196">
        <v>69</v>
      </c>
      <c r="H196">
        <v>5451</v>
      </c>
      <c r="I196" s="1" t="s">
        <v>646</v>
      </c>
      <c r="J196" t="str">
        <f>TEXT(clean_purchase_orders[[#This Row],[Order_Date]],"yyyy-mm")</f>
        <v>2025-12</v>
      </c>
    </row>
    <row r="197" spans="1:10" x14ac:dyDescent="0.3">
      <c r="A197" s="1" t="s">
        <v>626</v>
      </c>
      <c r="B197" s="1" t="s">
        <v>653</v>
      </c>
      <c r="C197" s="1" t="s">
        <v>28</v>
      </c>
      <c r="D197" s="2">
        <v>45900</v>
      </c>
      <c r="E197" s="2">
        <v>45920</v>
      </c>
      <c r="F197">
        <v>252</v>
      </c>
      <c r="G197">
        <v>209</v>
      </c>
      <c r="H197">
        <v>52668</v>
      </c>
      <c r="I197" s="1" t="s">
        <v>649</v>
      </c>
      <c r="J197" t="str">
        <f>TEXT(clean_purchase_orders[[#This Row],[Order_Date]],"yyyy-mm")</f>
        <v>2025-08</v>
      </c>
    </row>
    <row r="198" spans="1:10" x14ac:dyDescent="0.3">
      <c r="A198" s="1" t="s">
        <v>628</v>
      </c>
      <c r="B198" s="1" t="s">
        <v>669</v>
      </c>
      <c r="C198" s="1" t="s">
        <v>24</v>
      </c>
      <c r="D198" s="2">
        <v>45935</v>
      </c>
      <c r="E198" s="2">
        <v>45951</v>
      </c>
      <c r="F198">
        <v>392</v>
      </c>
      <c r="G198">
        <v>99</v>
      </c>
      <c r="H198">
        <v>38808</v>
      </c>
      <c r="I198" s="1" t="s">
        <v>643</v>
      </c>
      <c r="J198" t="str">
        <f>TEXT(clean_purchase_orders[[#This Row],[Order_Date]],"yyyy-mm")</f>
        <v>2025-10</v>
      </c>
    </row>
    <row r="199" spans="1:10" x14ac:dyDescent="0.3">
      <c r="A199" s="1" t="s">
        <v>630</v>
      </c>
      <c r="B199" s="1" t="s">
        <v>691</v>
      </c>
      <c r="C199" s="1" t="s">
        <v>16</v>
      </c>
      <c r="D199" s="2">
        <v>45919</v>
      </c>
      <c r="E199" s="2">
        <v>45930</v>
      </c>
      <c r="F199">
        <v>228</v>
      </c>
      <c r="G199">
        <v>500</v>
      </c>
      <c r="H199">
        <v>114000</v>
      </c>
      <c r="I199" s="1" t="s">
        <v>649</v>
      </c>
      <c r="J199" t="str">
        <f>TEXT(clean_purchase_orders[[#This Row],[Order_Date]],"yyyy-mm")</f>
        <v>2025-09</v>
      </c>
    </row>
    <row r="200" spans="1:10" x14ac:dyDescent="0.3">
      <c r="A200" s="1" t="s">
        <v>632</v>
      </c>
      <c r="B200" s="1" t="s">
        <v>661</v>
      </c>
      <c r="C200" s="1" t="s">
        <v>46</v>
      </c>
      <c r="D200" s="2">
        <v>46093</v>
      </c>
      <c r="E200" s="2">
        <v>46110</v>
      </c>
      <c r="F200">
        <v>131</v>
      </c>
      <c r="G200">
        <v>247</v>
      </c>
      <c r="H200">
        <v>32357</v>
      </c>
      <c r="I200" s="1" t="s">
        <v>643</v>
      </c>
      <c r="J200" t="str">
        <f>TEXT(clean_purchase_orders[[#This Row],[Order_Date]],"yyyy-mm")</f>
        <v>2026-03</v>
      </c>
    </row>
    <row r="201" spans="1:10" x14ac:dyDescent="0.3">
      <c r="A201" s="1" t="s">
        <v>634</v>
      </c>
      <c r="B201" s="1" t="s">
        <v>650</v>
      </c>
      <c r="C201" s="1" t="s">
        <v>11</v>
      </c>
      <c r="D201" s="2">
        <v>45934</v>
      </c>
      <c r="E201" s="2">
        <v>45954</v>
      </c>
      <c r="F201">
        <v>371</v>
      </c>
      <c r="G201">
        <v>208</v>
      </c>
      <c r="H201">
        <v>77168</v>
      </c>
      <c r="I201" s="1" t="s">
        <v>646</v>
      </c>
      <c r="J201" t="str">
        <f>TEXT(clean_purchase_orders[[#This Row],[Order_Date]],"yyyy-mm")</f>
        <v>2025-10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FD339-7439-4309-8075-C07D1A3101C8}">
  <dimension ref="A1:K201"/>
  <sheetViews>
    <sheetView workbookViewId="0">
      <selection activeCell="K2" sqref="K2"/>
    </sheetView>
  </sheetViews>
  <sheetFormatPr defaultRowHeight="14.4" x14ac:dyDescent="0.3"/>
  <cols>
    <col min="1" max="1" width="11.77734375" bestFit="1" customWidth="1"/>
    <col min="2" max="2" width="13.21875" bestFit="1" customWidth="1"/>
    <col min="3" max="3" width="13.88671875" bestFit="1" customWidth="1"/>
    <col min="4" max="4" width="16.5546875" bestFit="1" customWidth="1"/>
    <col min="5" max="5" width="9" bestFit="1" customWidth="1"/>
    <col min="6" max="6" width="10.5546875" bestFit="1" customWidth="1"/>
    <col min="7" max="7" width="14.5546875" bestFit="1" customWidth="1"/>
    <col min="8" max="8" width="16.77734375" bestFit="1" customWidth="1"/>
    <col min="9" max="9" width="17.33203125" bestFit="1" customWidth="1"/>
    <col min="10" max="10" width="20.5546875" bestFit="1" customWidth="1"/>
    <col min="11" max="11" width="15.33203125" customWidth="1"/>
  </cols>
  <sheetData>
    <row r="1" spans="1:11" x14ac:dyDescent="0.3">
      <c r="A1" t="s">
        <v>222</v>
      </c>
      <c r="B1" t="s">
        <v>223</v>
      </c>
      <c r="C1" t="s">
        <v>224</v>
      </c>
      <c r="D1" t="s">
        <v>225</v>
      </c>
      <c r="E1" t="s">
        <v>226</v>
      </c>
      <c r="F1" t="s">
        <v>227</v>
      </c>
      <c r="G1" t="s">
        <v>228</v>
      </c>
      <c r="H1" t="s">
        <v>229</v>
      </c>
      <c r="I1" t="s">
        <v>230</v>
      </c>
      <c r="J1" t="s">
        <v>231</v>
      </c>
      <c r="K1" t="s">
        <v>1008</v>
      </c>
    </row>
    <row r="2" spans="1:11" x14ac:dyDescent="0.3">
      <c r="A2" s="1" t="s">
        <v>232</v>
      </c>
      <c r="B2" s="1" t="s">
        <v>233</v>
      </c>
      <c r="C2" s="2">
        <v>46171</v>
      </c>
      <c r="D2">
        <v>82530</v>
      </c>
      <c r="E2">
        <v>6602.4</v>
      </c>
      <c r="F2">
        <v>150</v>
      </c>
      <c r="G2">
        <v>88982.399999999994</v>
      </c>
      <c r="H2" s="1" t="s">
        <v>234</v>
      </c>
      <c r="I2">
        <v>88982.399999999994</v>
      </c>
      <c r="J2" t="b">
        <v>0</v>
      </c>
      <c r="K2" t="str">
        <f>TEXT(clean_invoices[[#This Row],[Invoice_Date]],"yyyy-mm")</f>
        <v>2026-05</v>
      </c>
    </row>
    <row r="3" spans="1:11" x14ac:dyDescent="0.3">
      <c r="A3" s="1" t="s">
        <v>235</v>
      </c>
      <c r="B3" s="1" t="s">
        <v>236</v>
      </c>
      <c r="C3" s="2">
        <v>45867</v>
      </c>
      <c r="D3">
        <v>4692</v>
      </c>
      <c r="E3">
        <v>375.36</v>
      </c>
      <c r="F3">
        <v>0</v>
      </c>
      <c r="G3">
        <v>5067.3599999999997</v>
      </c>
      <c r="H3" s="1" t="s">
        <v>237</v>
      </c>
      <c r="I3">
        <v>5067.3599999999997</v>
      </c>
      <c r="J3" t="b">
        <v>0</v>
      </c>
      <c r="K3" t="str">
        <f>TEXT(clean_invoices[[#This Row],[Invoice_Date]],"yyyy-mm")</f>
        <v>2025-07</v>
      </c>
    </row>
    <row r="4" spans="1:11" x14ac:dyDescent="0.3">
      <c r="A4" s="1" t="s">
        <v>238</v>
      </c>
      <c r="B4" s="1" t="s">
        <v>239</v>
      </c>
      <c r="C4" s="2">
        <v>45911</v>
      </c>
      <c r="D4">
        <v>119658</v>
      </c>
      <c r="E4">
        <v>9572.64</v>
      </c>
      <c r="F4">
        <v>0</v>
      </c>
      <c r="G4">
        <v>129230.64</v>
      </c>
      <c r="H4" s="1" t="s">
        <v>237</v>
      </c>
      <c r="I4">
        <v>129230.64</v>
      </c>
      <c r="J4" t="b">
        <v>0</v>
      </c>
      <c r="K4" t="str">
        <f>TEXT(clean_invoices[[#This Row],[Invoice_Date]],"yyyy-mm")</f>
        <v>2025-09</v>
      </c>
    </row>
    <row r="5" spans="1:11" x14ac:dyDescent="0.3">
      <c r="A5" s="1" t="s">
        <v>240</v>
      </c>
      <c r="B5" s="1" t="s">
        <v>241</v>
      </c>
      <c r="C5" s="2">
        <v>46015</v>
      </c>
      <c r="D5">
        <v>75656</v>
      </c>
      <c r="E5">
        <v>6052.48</v>
      </c>
      <c r="F5">
        <v>200</v>
      </c>
      <c r="G5">
        <v>81508.479999999996</v>
      </c>
      <c r="H5" s="1" t="s">
        <v>237</v>
      </c>
      <c r="I5">
        <v>81508.479999999996</v>
      </c>
      <c r="J5" t="b">
        <v>0</v>
      </c>
      <c r="K5" t="str">
        <f>TEXT(clean_invoices[[#This Row],[Invoice_Date]],"yyyy-mm")</f>
        <v>2025-12</v>
      </c>
    </row>
    <row r="6" spans="1:11" x14ac:dyDescent="0.3">
      <c r="A6" s="1" t="s">
        <v>242</v>
      </c>
      <c r="B6" s="1" t="s">
        <v>243</v>
      </c>
      <c r="C6" s="2">
        <v>46094</v>
      </c>
      <c r="D6">
        <v>73206</v>
      </c>
      <c r="E6">
        <v>5856.48</v>
      </c>
      <c r="F6">
        <v>200</v>
      </c>
      <c r="G6">
        <v>78862.48</v>
      </c>
      <c r="H6" s="1" t="s">
        <v>234</v>
      </c>
      <c r="I6">
        <v>78862.48</v>
      </c>
      <c r="J6" t="b">
        <v>0</v>
      </c>
      <c r="K6" t="str">
        <f>TEXT(clean_invoices[[#This Row],[Invoice_Date]],"yyyy-mm")</f>
        <v>2026-03</v>
      </c>
    </row>
    <row r="7" spans="1:11" x14ac:dyDescent="0.3">
      <c r="A7" s="1" t="s">
        <v>244</v>
      </c>
      <c r="B7" s="1" t="s">
        <v>245</v>
      </c>
      <c r="C7" s="2">
        <v>46150</v>
      </c>
      <c r="D7">
        <v>37632</v>
      </c>
      <c r="E7">
        <v>3010.56</v>
      </c>
      <c r="F7">
        <v>50</v>
      </c>
      <c r="G7">
        <v>40592.559999999998</v>
      </c>
      <c r="H7" s="1" t="s">
        <v>237</v>
      </c>
      <c r="I7">
        <v>40592.559999999998</v>
      </c>
      <c r="J7" t="b">
        <v>0</v>
      </c>
      <c r="K7" t="str">
        <f>TEXT(clean_invoices[[#This Row],[Invoice_Date]],"yyyy-mm")</f>
        <v>2026-05</v>
      </c>
    </row>
    <row r="8" spans="1:11" x14ac:dyDescent="0.3">
      <c r="A8" s="1" t="s">
        <v>246</v>
      </c>
      <c r="B8" s="1" t="s">
        <v>247</v>
      </c>
      <c r="C8" s="2">
        <v>45960</v>
      </c>
      <c r="D8">
        <v>15885</v>
      </c>
      <c r="E8">
        <v>1270.8</v>
      </c>
      <c r="F8">
        <v>100</v>
      </c>
      <c r="G8">
        <v>17055.8</v>
      </c>
      <c r="H8" s="1" t="s">
        <v>237</v>
      </c>
      <c r="I8">
        <v>17055.8</v>
      </c>
      <c r="J8" t="b">
        <v>0</v>
      </c>
      <c r="K8" t="str">
        <f>TEXT(clean_invoices[[#This Row],[Invoice_Date]],"yyyy-mm")</f>
        <v>2025-10</v>
      </c>
    </row>
    <row r="9" spans="1:11" x14ac:dyDescent="0.3">
      <c r="A9" s="1" t="s">
        <v>248</v>
      </c>
      <c r="B9" s="1" t="s">
        <v>249</v>
      </c>
      <c r="C9" s="2">
        <v>46012</v>
      </c>
      <c r="D9">
        <v>64014</v>
      </c>
      <c r="E9">
        <v>5121.12</v>
      </c>
      <c r="F9">
        <v>200</v>
      </c>
      <c r="G9">
        <v>68935.12</v>
      </c>
      <c r="H9" s="1" t="s">
        <v>237</v>
      </c>
      <c r="I9">
        <v>68935.12</v>
      </c>
      <c r="J9" t="b">
        <v>0</v>
      </c>
      <c r="K9" t="str">
        <f>TEXT(clean_invoices[[#This Row],[Invoice_Date]],"yyyy-mm")</f>
        <v>2025-12</v>
      </c>
    </row>
    <row r="10" spans="1:11" x14ac:dyDescent="0.3">
      <c r="A10" s="1" t="s">
        <v>250</v>
      </c>
      <c r="B10" s="1" t="s">
        <v>251</v>
      </c>
      <c r="C10" s="2">
        <v>45930</v>
      </c>
      <c r="D10">
        <v>59598</v>
      </c>
      <c r="E10">
        <v>4767.84</v>
      </c>
      <c r="F10">
        <v>0</v>
      </c>
      <c r="G10">
        <v>64231.839999999997</v>
      </c>
      <c r="H10" s="1" t="s">
        <v>252</v>
      </c>
      <c r="I10">
        <v>64365.84</v>
      </c>
      <c r="J10" t="b">
        <v>1</v>
      </c>
      <c r="K10" t="str">
        <f>TEXT(clean_invoices[[#This Row],[Invoice_Date]],"yyyy-mm")</f>
        <v>2025-09</v>
      </c>
    </row>
    <row r="11" spans="1:11" x14ac:dyDescent="0.3">
      <c r="A11" s="1" t="s">
        <v>253</v>
      </c>
      <c r="B11" s="1" t="s">
        <v>254</v>
      </c>
      <c r="C11" s="2">
        <v>46115</v>
      </c>
      <c r="D11">
        <v>4599</v>
      </c>
      <c r="E11">
        <v>367.92</v>
      </c>
      <c r="F11">
        <v>100</v>
      </c>
      <c r="G11">
        <v>4637.92</v>
      </c>
      <c r="H11" s="1" t="s">
        <v>237</v>
      </c>
      <c r="I11">
        <v>4866.92</v>
      </c>
      <c r="J11" t="b">
        <v>1</v>
      </c>
      <c r="K11" t="str">
        <f>TEXT(clean_invoices[[#This Row],[Invoice_Date]],"yyyy-mm")</f>
        <v>2026-04</v>
      </c>
    </row>
    <row r="12" spans="1:11" x14ac:dyDescent="0.3">
      <c r="A12" s="1" t="s">
        <v>255</v>
      </c>
      <c r="B12" s="1" t="s">
        <v>256</v>
      </c>
      <c r="C12" s="2">
        <v>46025</v>
      </c>
      <c r="D12">
        <v>148144</v>
      </c>
      <c r="E12">
        <v>11851.52</v>
      </c>
      <c r="F12">
        <v>150</v>
      </c>
      <c r="G12">
        <v>159845.51999999999</v>
      </c>
      <c r="H12" s="1" t="s">
        <v>234</v>
      </c>
      <c r="I12">
        <v>159845.51999999999</v>
      </c>
      <c r="J12" t="b">
        <v>0</v>
      </c>
      <c r="K12" t="str">
        <f>TEXT(clean_invoices[[#This Row],[Invoice_Date]],"yyyy-mm")</f>
        <v>2026-01</v>
      </c>
    </row>
    <row r="13" spans="1:11" x14ac:dyDescent="0.3">
      <c r="A13" s="1" t="s">
        <v>257</v>
      </c>
      <c r="B13" s="1" t="s">
        <v>258</v>
      </c>
      <c r="C13" s="2">
        <v>46139</v>
      </c>
      <c r="D13">
        <v>22401</v>
      </c>
      <c r="E13">
        <v>1792.08</v>
      </c>
      <c r="F13">
        <v>150</v>
      </c>
      <c r="G13">
        <v>24043.08</v>
      </c>
      <c r="H13" s="1" t="s">
        <v>252</v>
      </c>
      <c r="I13">
        <v>24043.08</v>
      </c>
      <c r="J13" t="b">
        <v>0</v>
      </c>
      <c r="K13" t="str">
        <f>TEXT(clean_invoices[[#This Row],[Invoice_Date]],"yyyy-mm")</f>
        <v>2026-04</v>
      </c>
    </row>
    <row r="14" spans="1:11" x14ac:dyDescent="0.3">
      <c r="A14" s="1" t="s">
        <v>259</v>
      </c>
      <c r="B14" s="1" t="s">
        <v>260</v>
      </c>
      <c r="C14" s="2">
        <v>45894</v>
      </c>
      <c r="D14">
        <v>20502</v>
      </c>
      <c r="E14">
        <v>1640.16</v>
      </c>
      <c r="F14">
        <v>0</v>
      </c>
      <c r="G14">
        <v>22142.16</v>
      </c>
      <c r="H14" s="1" t="s">
        <v>252</v>
      </c>
      <c r="I14">
        <v>22142.16</v>
      </c>
      <c r="J14" t="b">
        <v>0</v>
      </c>
      <c r="K14" t="str">
        <f>TEXT(clean_invoices[[#This Row],[Invoice_Date]],"yyyy-mm")</f>
        <v>2025-08</v>
      </c>
    </row>
    <row r="15" spans="1:11" x14ac:dyDescent="0.3">
      <c r="A15" s="1" t="s">
        <v>261</v>
      </c>
      <c r="B15" s="1" t="s">
        <v>262</v>
      </c>
      <c r="C15" s="2">
        <v>46101</v>
      </c>
      <c r="D15">
        <v>73128</v>
      </c>
      <c r="E15">
        <v>5850.24</v>
      </c>
      <c r="F15">
        <v>0</v>
      </c>
      <c r="G15">
        <v>78978.240000000005</v>
      </c>
      <c r="H15" s="1" t="s">
        <v>234</v>
      </c>
      <c r="I15">
        <v>78978.240000000005</v>
      </c>
      <c r="J15" t="b">
        <v>0</v>
      </c>
      <c r="K15" t="str">
        <f>TEXT(clean_invoices[[#This Row],[Invoice_Date]],"yyyy-mm")</f>
        <v>2026-03</v>
      </c>
    </row>
    <row r="16" spans="1:11" x14ac:dyDescent="0.3">
      <c r="A16" s="1" t="s">
        <v>263</v>
      </c>
      <c r="B16" s="1" t="s">
        <v>264</v>
      </c>
      <c r="C16" s="2">
        <v>46012</v>
      </c>
      <c r="D16">
        <v>27755</v>
      </c>
      <c r="E16">
        <v>2220.4</v>
      </c>
      <c r="F16">
        <v>150</v>
      </c>
      <c r="G16">
        <v>29825.4</v>
      </c>
      <c r="H16" s="1" t="s">
        <v>237</v>
      </c>
      <c r="I16">
        <v>29825.4</v>
      </c>
      <c r="J16" t="b">
        <v>0</v>
      </c>
      <c r="K16" t="str">
        <f>TEXT(clean_invoices[[#This Row],[Invoice_Date]],"yyyy-mm")</f>
        <v>2025-12</v>
      </c>
    </row>
    <row r="17" spans="1:11" x14ac:dyDescent="0.3">
      <c r="A17" s="1" t="s">
        <v>265</v>
      </c>
      <c r="B17" s="1" t="s">
        <v>266</v>
      </c>
      <c r="C17" s="2">
        <v>46162</v>
      </c>
      <c r="D17">
        <v>168265</v>
      </c>
      <c r="E17">
        <v>13461.2</v>
      </c>
      <c r="F17">
        <v>150</v>
      </c>
      <c r="G17">
        <v>181576.2</v>
      </c>
      <c r="H17" s="1" t="s">
        <v>252</v>
      </c>
      <c r="I17">
        <v>181576.2</v>
      </c>
      <c r="J17" t="b">
        <v>0</v>
      </c>
      <c r="K17" t="str">
        <f>TEXT(clean_invoices[[#This Row],[Invoice_Date]],"yyyy-mm")</f>
        <v>2026-05</v>
      </c>
    </row>
    <row r="18" spans="1:11" x14ac:dyDescent="0.3">
      <c r="A18" s="1" t="s">
        <v>267</v>
      </c>
      <c r="B18" s="1" t="s">
        <v>268</v>
      </c>
      <c r="C18" s="2">
        <v>46067</v>
      </c>
      <c r="D18">
        <v>46136</v>
      </c>
      <c r="E18">
        <v>3690.88</v>
      </c>
      <c r="F18">
        <v>0</v>
      </c>
      <c r="G18">
        <v>49826.879999999997</v>
      </c>
      <c r="H18" s="1" t="s">
        <v>237</v>
      </c>
      <c r="I18">
        <v>49826.879999999997</v>
      </c>
      <c r="J18" t="b">
        <v>0</v>
      </c>
      <c r="K18" t="str">
        <f>TEXT(clean_invoices[[#This Row],[Invoice_Date]],"yyyy-mm")</f>
        <v>2026-02</v>
      </c>
    </row>
    <row r="19" spans="1:11" x14ac:dyDescent="0.3">
      <c r="A19" s="1" t="s">
        <v>269</v>
      </c>
      <c r="B19" s="1" t="s">
        <v>270</v>
      </c>
      <c r="C19" s="2">
        <v>45993</v>
      </c>
      <c r="D19">
        <v>113208</v>
      </c>
      <c r="E19">
        <v>9056.64</v>
      </c>
      <c r="F19">
        <v>0</v>
      </c>
      <c r="G19">
        <v>122264.64</v>
      </c>
      <c r="H19" s="1" t="s">
        <v>237</v>
      </c>
      <c r="I19">
        <v>122264.64</v>
      </c>
      <c r="J19" t="b">
        <v>0</v>
      </c>
      <c r="K19" t="str">
        <f>TEXT(clean_invoices[[#This Row],[Invoice_Date]],"yyyy-mm")</f>
        <v>2025-12</v>
      </c>
    </row>
    <row r="20" spans="1:11" x14ac:dyDescent="0.3">
      <c r="A20" s="1" t="s">
        <v>271</v>
      </c>
      <c r="B20" s="1" t="s">
        <v>272</v>
      </c>
      <c r="C20" s="2">
        <v>45960</v>
      </c>
      <c r="D20">
        <v>139732</v>
      </c>
      <c r="E20">
        <v>11178.56</v>
      </c>
      <c r="F20">
        <v>50</v>
      </c>
      <c r="G20">
        <v>150860.56</v>
      </c>
      <c r="H20" s="1" t="s">
        <v>252</v>
      </c>
      <c r="I20">
        <v>150860.56</v>
      </c>
      <c r="J20" t="b">
        <v>0</v>
      </c>
      <c r="K20" t="str">
        <f>TEXT(clean_invoices[[#This Row],[Invoice_Date]],"yyyy-mm")</f>
        <v>2025-10</v>
      </c>
    </row>
    <row r="21" spans="1:11" x14ac:dyDescent="0.3">
      <c r="A21" s="1" t="s">
        <v>273</v>
      </c>
      <c r="B21" s="1" t="s">
        <v>274</v>
      </c>
      <c r="C21" s="2">
        <v>46035</v>
      </c>
      <c r="D21">
        <v>31581</v>
      </c>
      <c r="E21">
        <v>2526.48</v>
      </c>
      <c r="F21">
        <v>100</v>
      </c>
      <c r="G21">
        <v>34007.480000000003</v>
      </c>
      <c r="H21" s="1" t="s">
        <v>252</v>
      </c>
      <c r="I21">
        <v>34007.480000000003</v>
      </c>
      <c r="J21" t="b">
        <v>0</v>
      </c>
      <c r="K21" t="str">
        <f>TEXT(clean_invoices[[#This Row],[Invoice_Date]],"yyyy-mm")</f>
        <v>2026-01</v>
      </c>
    </row>
    <row r="22" spans="1:11" x14ac:dyDescent="0.3">
      <c r="A22" s="1" t="s">
        <v>275</v>
      </c>
      <c r="B22" s="1" t="s">
        <v>276</v>
      </c>
      <c r="C22" s="2">
        <v>45859</v>
      </c>
      <c r="D22">
        <v>28443</v>
      </c>
      <c r="E22">
        <v>2275.44</v>
      </c>
      <c r="F22">
        <v>100</v>
      </c>
      <c r="G22">
        <v>30618.44</v>
      </c>
      <c r="H22" s="1" t="s">
        <v>234</v>
      </c>
      <c r="I22">
        <v>30618.44</v>
      </c>
      <c r="J22" t="b">
        <v>0</v>
      </c>
      <c r="K22" t="str">
        <f>TEXT(clean_invoices[[#This Row],[Invoice_Date]],"yyyy-mm")</f>
        <v>2025-07</v>
      </c>
    </row>
    <row r="23" spans="1:11" x14ac:dyDescent="0.3">
      <c r="A23" s="1" t="s">
        <v>277</v>
      </c>
      <c r="B23" s="1" t="s">
        <v>278</v>
      </c>
      <c r="C23" s="2">
        <v>46050</v>
      </c>
      <c r="D23">
        <v>4047</v>
      </c>
      <c r="E23">
        <v>323.76</v>
      </c>
      <c r="F23">
        <v>0</v>
      </c>
      <c r="G23">
        <v>4370.76</v>
      </c>
      <c r="H23" s="1" t="s">
        <v>252</v>
      </c>
      <c r="I23">
        <v>4370.76</v>
      </c>
      <c r="J23" t="b">
        <v>0</v>
      </c>
      <c r="K23" t="str">
        <f>TEXT(clean_invoices[[#This Row],[Invoice_Date]],"yyyy-mm")</f>
        <v>2026-01</v>
      </c>
    </row>
    <row r="24" spans="1:11" x14ac:dyDescent="0.3">
      <c r="A24" s="1" t="s">
        <v>279</v>
      </c>
      <c r="B24" s="1" t="s">
        <v>280</v>
      </c>
      <c r="C24" s="2">
        <v>46089</v>
      </c>
      <c r="D24">
        <v>43239</v>
      </c>
      <c r="E24">
        <v>3459.12</v>
      </c>
      <c r="F24">
        <v>200</v>
      </c>
      <c r="G24">
        <v>46498.12</v>
      </c>
      <c r="H24" s="1" t="s">
        <v>234</v>
      </c>
      <c r="I24">
        <v>46498.12</v>
      </c>
      <c r="J24" t="b">
        <v>0</v>
      </c>
      <c r="K24" t="str">
        <f>TEXT(clean_invoices[[#This Row],[Invoice_Date]],"yyyy-mm")</f>
        <v>2026-03</v>
      </c>
    </row>
    <row r="25" spans="1:11" x14ac:dyDescent="0.3">
      <c r="A25" s="1" t="s">
        <v>281</v>
      </c>
      <c r="B25" s="1" t="s">
        <v>282</v>
      </c>
      <c r="C25" s="2">
        <v>45974</v>
      </c>
      <c r="D25">
        <v>16500</v>
      </c>
      <c r="E25">
        <v>1320</v>
      </c>
      <c r="F25">
        <v>150</v>
      </c>
      <c r="G25">
        <v>17670</v>
      </c>
      <c r="H25" s="1" t="s">
        <v>234</v>
      </c>
      <c r="I25">
        <v>17670</v>
      </c>
      <c r="J25" t="b">
        <v>0</v>
      </c>
      <c r="K25" t="str">
        <f>TEXT(clean_invoices[[#This Row],[Invoice_Date]],"yyyy-mm")</f>
        <v>2025-11</v>
      </c>
    </row>
    <row r="26" spans="1:11" x14ac:dyDescent="0.3">
      <c r="A26" s="1" t="s">
        <v>283</v>
      </c>
      <c r="B26" s="1" t="s">
        <v>284</v>
      </c>
      <c r="C26" s="2">
        <v>46067</v>
      </c>
      <c r="D26">
        <v>144189</v>
      </c>
      <c r="E26">
        <v>11535.12</v>
      </c>
      <c r="F26">
        <v>150</v>
      </c>
      <c r="G26">
        <v>155574.12</v>
      </c>
      <c r="H26" s="1" t="s">
        <v>234</v>
      </c>
      <c r="I26">
        <v>155574.12</v>
      </c>
      <c r="J26" t="b">
        <v>0</v>
      </c>
      <c r="K26" t="str">
        <f>TEXT(clean_invoices[[#This Row],[Invoice_Date]],"yyyy-mm")</f>
        <v>2026-02</v>
      </c>
    </row>
    <row r="27" spans="1:11" x14ac:dyDescent="0.3">
      <c r="A27" s="1" t="s">
        <v>285</v>
      </c>
      <c r="B27" s="1" t="s">
        <v>286</v>
      </c>
      <c r="C27" s="2">
        <v>46139</v>
      </c>
      <c r="D27">
        <v>85981</v>
      </c>
      <c r="E27">
        <v>6878.48</v>
      </c>
      <c r="F27">
        <v>150</v>
      </c>
      <c r="G27">
        <v>92709.48</v>
      </c>
      <c r="H27" s="1" t="s">
        <v>234</v>
      </c>
      <c r="I27">
        <v>92709.48</v>
      </c>
      <c r="J27" t="b">
        <v>0</v>
      </c>
      <c r="K27" t="str">
        <f>TEXT(clean_invoices[[#This Row],[Invoice_Date]],"yyyy-mm")</f>
        <v>2026-04</v>
      </c>
    </row>
    <row r="28" spans="1:11" x14ac:dyDescent="0.3">
      <c r="A28" s="1" t="s">
        <v>287</v>
      </c>
      <c r="B28" s="1" t="s">
        <v>288</v>
      </c>
      <c r="C28" s="2">
        <v>45997</v>
      </c>
      <c r="D28">
        <v>35150</v>
      </c>
      <c r="E28">
        <v>2812</v>
      </c>
      <c r="F28">
        <v>50</v>
      </c>
      <c r="G28">
        <v>37912</v>
      </c>
      <c r="H28" s="1" t="s">
        <v>237</v>
      </c>
      <c r="I28">
        <v>37912</v>
      </c>
      <c r="J28" t="b">
        <v>0</v>
      </c>
      <c r="K28" t="str">
        <f>TEXT(clean_invoices[[#This Row],[Invoice_Date]],"yyyy-mm")</f>
        <v>2025-12</v>
      </c>
    </row>
    <row r="29" spans="1:11" x14ac:dyDescent="0.3">
      <c r="A29" s="1" t="s">
        <v>289</v>
      </c>
      <c r="B29" s="1" t="s">
        <v>290</v>
      </c>
      <c r="C29" s="2">
        <v>45905</v>
      </c>
      <c r="D29">
        <v>41783</v>
      </c>
      <c r="E29">
        <v>3342.64</v>
      </c>
      <c r="F29">
        <v>0</v>
      </c>
      <c r="G29">
        <v>45125.64</v>
      </c>
      <c r="H29" s="1" t="s">
        <v>234</v>
      </c>
      <c r="I29">
        <v>45125.64</v>
      </c>
      <c r="J29" t="b">
        <v>0</v>
      </c>
      <c r="K29" t="str">
        <f>TEXT(clean_invoices[[#This Row],[Invoice_Date]],"yyyy-mm")</f>
        <v>2025-09</v>
      </c>
    </row>
    <row r="30" spans="1:11" x14ac:dyDescent="0.3">
      <c r="A30" s="1" t="s">
        <v>291</v>
      </c>
      <c r="B30" s="1" t="s">
        <v>292</v>
      </c>
      <c r="C30" s="2">
        <v>45867</v>
      </c>
      <c r="D30">
        <v>70680</v>
      </c>
      <c r="E30">
        <v>5654.4</v>
      </c>
      <c r="F30">
        <v>0</v>
      </c>
      <c r="G30">
        <v>76334.399999999994</v>
      </c>
      <c r="H30" s="1" t="s">
        <v>237</v>
      </c>
      <c r="I30">
        <v>76334.399999999994</v>
      </c>
      <c r="J30" t="b">
        <v>0</v>
      </c>
      <c r="K30" t="str">
        <f>TEXT(clean_invoices[[#This Row],[Invoice_Date]],"yyyy-mm")</f>
        <v>2025-07</v>
      </c>
    </row>
    <row r="31" spans="1:11" x14ac:dyDescent="0.3">
      <c r="A31" s="1" t="s">
        <v>293</v>
      </c>
      <c r="B31" s="1" t="s">
        <v>294</v>
      </c>
      <c r="C31" s="2">
        <v>45956</v>
      </c>
      <c r="D31">
        <v>23048</v>
      </c>
      <c r="E31">
        <v>1843.84</v>
      </c>
      <c r="F31">
        <v>200</v>
      </c>
      <c r="G31">
        <v>25170.84</v>
      </c>
      <c r="H31" s="1" t="s">
        <v>252</v>
      </c>
      <c r="I31">
        <v>24691.84</v>
      </c>
      <c r="J31" t="b">
        <v>1</v>
      </c>
      <c r="K31" t="str">
        <f>TEXT(clean_invoices[[#This Row],[Invoice_Date]],"yyyy-mm")</f>
        <v>2025-10</v>
      </c>
    </row>
    <row r="32" spans="1:11" x14ac:dyDescent="0.3">
      <c r="A32" s="1" t="s">
        <v>295</v>
      </c>
      <c r="B32" s="1" t="s">
        <v>296</v>
      </c>
      <c r="C32" s="2">
        <v>45925</v>
      </c>
      <c r="D32">
        <v>78660</v>
      </c>
      <c r="E32">
        <v>6292.8</v>
      </c>
      <c r="F32">
        <v>100</v>
      </c>
      <c r="G32">
        <v>84852.800000000003</v>
      </c>
      <c r="H32" s="1" t="s">
        <v>234</v>
      </c>
      <c r="I32">
        <v>84852.800000000003</v>
      </c>
      <c r="J32" t="b">
        <v>0</v>
      </c>
      <c r="K32" t="str">
        <f>TEXT(clean_invoices[[#This Row],[Invoice_Date]],"yyyy-mm")</f>
        <v>2025-09</v>
      </c>
    </row>
    <row r="33" spans="1:11" x14ac:dyDescent="0.3">
      <c r="A33" s="1" t="s">
        <v>297</v>
      </c>
      <c r="B33" s="1" t="s">
        <v>298</v>
      </c>
      <c r="C33" s="2">
        <v>46061</v>
      </c>
      <c r="D33">
        <v>74292</v>
      </c>
      <c r="E33">
        <v>5943.36</v>
      </c>
      <c r="F33">
        <v>150</v>
      </c>
      <c r="G33">
        <v>80085.36</v>
      </c>
      <c r="H33" s="1" t="s">
        <v>234</v>
      </c>
      <c r="I33">
        <v>80085.36</v>
      </c>
      <c r="J33" t="b">
        <v>0</v>
      </c>
      <c r="K33" t="str">
        <f>TEXT(clean_invoices[[#This Row],[Invoice_Date]],"yyyy-mm")</f>
        <v>2026-02</v>
      </c>
    </row>
    <row r="34" spans="1:11" x14ac:dyDescent="0.3">
      <c r="A34" s="1" t="s">
        <v>299</v>
      </c>
      <c r="B34" s="1" t="s">
        <v>300</v>
      </c>
      <c r="C34" s="2">
        <v>46034</v>
      </c>
      <c r="D34">
        <v>27376</v>
      </c>
      <c r="E34">
        <v>2190.08</v>
      </c>
      <c r="F34">
        <v>200</v>
      </c>
      <c r="G34">
        <v>29366.080000000002</v>
      </c>
      <c r="H34" s="1" t="s">
        <v>252</v>
      </c>
      <c r="I34">
        <v>29366.080000000002</v>
      </c>
      <c r="J34" t="b">
        <v>0</v>
      </c>
      <c r="K34" t="str">
        <f>TEXT(clean_invoices[[#This Row],[Invoice_Date]],"yyyy-mm")</f>
        <v>2026-01</v>
      </c>
    </row>
    <row r="35" spans="1:11" x14ac:dyDescent="0.3">
      <c r="A35" s="1" t="s">
        <v>301</v>
      </c>
      <c r="B35" s="1" t="s">
        <v>302</v>
      </c>
      <c r="C35" s="2">
        <v>45928</v>
      </c>
      <c r="D35">
        <v>96036</v>
      </c>
      <c r="E35">
        <v>7682.88</v>
      </c>
      <c r="F35">
        <v>200</v>
      </c>
      <c r="G35">
        <v>103518.88</v>
      </c>
      <c r="H35" s="1" t="s">
        <v>237</v>
      </c>
      <c r="I35">
        <v>103518.88</v>
      </c>
      <c r="J35" t="b">
        <v>0</v>
      </c>
      <c r="K35" t="str">
        <f>TEXT(clean_invoices[[#This Row],[Invoice_Date]],"yyyy-mm")</f>
        <v>2025-09</v>
      </c>
    </row>
    <row r="36" spans="1:11" x14ac:dyDescent="0.3">
      <c r="A36" s="1" t="s">
        <v>303</v>
      </c>
      <c r="B36" s="1" t="s">
        <v>304</v>
      </c>
      <c r="C36" s="2">
        <v>46115</v>
      </c>
      <c r="D36">
        <v>36462</v>
      </c>
      <c r="E36">
        <v>2916.96</v>
      </c>
      <c r="F36">
        <v>0</v>
      </c>
      <c r="G36">
        <v>39378.959999999999</v>
      </c>
      <c r="H36" s="1" t="s">
        <v>234</v>
      </c>
      <c r="I36">
        <v>39378.959999999999</v>
      </c>
      <c r="J36" t="b">
        <v>0</v>
      </c>
      <c r="K36" t="str">
        <f>TEXT(clean_invoices[[#This Row],[Invoice_Date]],"yyyy-mm")</f>
        <v>2026-04</v>
      </c>
    </row>
    <row r="37" spans="1:11" x14ac:dyDescent="0.3">
      <c r="A37" s="1" t="s">
        <v>305</v>
      </c>
      <c r="B37" s="1" t="s">
        <v>306</v>
      </c>
      <c r="C37" s="2">
        <v>46036</v>
      </c>
      <c r="D37">
        <v>53067</v>
      </c>
      <c r="E37">
        <v>4245.3599999999997</v>
      </c>
      <c r="F37">
        <v>0</v>
      </c>
      <c r="G37">
        <v>57312.36</v>
      </c>
      <c r="H37" s="1" t="s">
        <v>237</v>
      </c>
      <c r="I37">
        <v>57312.36</v>
      </c>
      <c r="J37" t="b">
        <v>0</v>
      </c>
      <c r="K37" t="str">
        <f>TEXT(clean_invoices[[#This Row],[Invoice_Date]],"yyyy-mm")</f>
        <v>2026-01</v>
      </c>
    </row>
    <row r="38" spans="1:11" x14ac:dyDescent="0.3">
      <c r="A38" s="1" t="s">
        <v>307</v>
      </c>
      <c r="B38" s="1" t="s">
        <v>308</v>
      </c>
      <c r="C38" s="2">
        <v>46152</v>
      </c>
      <c r="D38">
        <v>135811</v>
      </c>
      <c r="E38">
        <v>10864.88</v>
      </c>
      <c r="F38">
        <v>150</v>
      </c>
      <c r="G38">
        <v>146525.88</v>
      </c>
      <c r="H38" s="1" t="s">
        <v>252</v>
      </c>
      <c r="I38">
        <v>146525.88</v>
      </c>
      <c r="J38" t="b">
        <v>0</v>
      </c>
      <c r="K38" t="str">
        <f>TEXT(clean_invoices[[#This Row],[Invoice_Date]],"yyyy-mm")</f>
        <v>2026-05</v>
      </c>
    </row>
    <row r="39" spans="1:11" x14ac:dyDescent="0.3">
      <c r="A39" s="1" t="s">
        <v>309</v>
      </c>
      <c r="B39" s="1" t="s">
        <v>310</v>
      </c>
      <c r="C39" s="2">
        <v>45957</v>
      </c>
      <c r="D39">
        <v>108801</v>
      </c>
      <c r="E39">
        <v>8704.08</v>
      </c>
      <c r="F39">
        <v>200</v>
      </c>
      <c r="G39">
        <v>117756.08</v>
      </c>
      <c r="H39" s="1" t="s">
        <v>237</v>
      </c>
      <c r="I39">
        <v>117305.08</v>
      </c>
      <c r="J39" t="b">
        <v>1</v>
      </c>
      <c r="K39" t="str">
        <f>TEXT(clean_invoices[[#This Row],[Invoice_Date]],"yyyy-mm")</f>
        <v>2025-10</v>
      </c>
    </row>
    <row r="40" spans="1:11" x14ac:dyDescent="0.3">
      <c r="A40" s="1" t="s">
        <v>311</v>
      </c>
      <c r="B40" s="1" t="s">
        <v>312</v>
      </c>
      <c r="C40" s="2">
        <v>46079</v>
      </c>
      <c r="D40">
        <v>208320</v>
      </c>
      <c r="E40">
        <v>16665.599999999999</v>
      </c>
      <c r="F40">
        <v>50</v>
      </c>
      <c r="G40">
        <v>224935.6</v>
      </c>
      <c r="H40" s="1" t="s">
        <v>234</v>
      </c>
      <c r="I40">
        <v>224935.6</v>
      </c>
      <c r="J40" t="b">
        <v>0</v>
      </c>
      <c r="K40" t="str">
        <f>TEXT(clean_invoices[[#This Row],[Invoice_Date]],"yyyy-mm")</f>
        <v>2026-02</v>
      </c>
    </row>
    <row r="41" spans="1:11" x14ac:dyDescent="0.3">
      <c r="A41" s="1" t="s">
        <v>313</v>
      </c>
      <c r="B41" s="1" t="s">
        <v>314</v>
      </c>
      <c r="C41" s="2">
        <v>46048</v>
      </c>
      <c r="D41">
        <v>160317</v>
      </c>
      <c r="E41">
        <v>12825.36</v>
      </c>
      <c r="F41">
        <v>100</v>
      </c>
      <c r="G41">
        <v>173432.36</v>
      </c>
      <c r="H41" s="1" t="s">
        <v>252</v>
      </c>
      <c r="I41">
        <v>173042.36</v>
      </c>
      <c r="J41" t="b">
        <v>1</v>
      </c>
      <c r="K41" t="str">
        <f>TEXT(clean_invoices[[#This Row],[Invoice_Date]],"yyyy-mm")</f>
        <v>2026-01</v>
      </c>
    </row>
    <row r="42" spans="1:11" x14ac:dyDescent="0.3">
      <c r="A42" s="1" t="s">
        <v>315</v>
      </c>
      <c r="B42" s="1" t="s">
        <v>316</v>
      </c>
      <c r="C42" s="2">
        <v>46027</v>
      </c>
      <c r="D42">
        <v>16226</v>
      </c>
      <c r="E42">
        <v>1298.08</v>
      </c>
      <c r="F42">
        <v>150</v>
      </c>
      <c r="G42">
        <v>17632.080000000002</v>
      </c>
      <c r="H42" s="1" t="s">
        <v>237</v>
      </c>
      <c r="I42">
        <v>17374.080000000002</v>
      </c>
      <c r="J42" t="b">
        <v>1</v>
      </c>
      <c r="K42" t="str">
        <f>TEXT(clean_invoices[[#This Row],[Invoice_Date]],"yyyy-mm")</f>
        <v>2026-01</v>
      </c>
    </row>
    <row r="43" spans="1:11" x14ac:dyDescent="0.3">
      <c r="A43" s="1" t="s">
        <v>317</v>
      </c>
      <c r="B43" s="1" t="s">
        <v>318</v>
      </c>
      <c r="C43" s="2">
        <v>46167</v>
      </c>
      <c r="D43">
        <v>4288</v>
      </c>
      <c r="E43">
        <v>343.04</v>
      </c>
      <c r="F43">
        <v>200</v>
      </c>
      <c r="G43">
        <v>4431.04</v>
      </c>
      <c r="H43" s="1" t="s">
        <v>234</v>
      </c>
      <c r="I43">
        <v>4431.04</v>
      </c>
      <c r="J43" t="b">
        <v>0</v>
      </c>
      <c r="K43" t="str">
        <f>TEXT(clean_invoices[[#This Row],[Invoice_Date]],"yyyy-mm")</f>
        <v>2026-05</v>
      </c>
    </row>
    <row r="44" spans="1:11" x14ac:dyDescent="0.3">
      <c r="A44" s="1" t="s">
        <v>319</v>
      </c>
      <c r="B44" s="1" t="s">
        <v>320</v>
      </c>
      <c r="C44" s="2">
        <v>46064</v>
      </c>
      <c r="D44">
        <v>25410</v>
      </c>
      <c r="E44">
        <v>2032.8</v>
      </c>
      <c r="F44">
        <v>100</v>
      </c>
      <c r="G44">
        <v>27342.799999999999</v>
      </c>
      <c r="H44" s="1" t="s">
        <v>252</v>
      </c>
      <c r="I44">
        <v>27342.799999999999</v>
      </c>
      <c r="J44" t="b">
        <v>0</v>
      </c>
      <c r="K44" t="str">
        <f>TEXT(clean_invoices[[#This Row],[Invoice_Date]],"yyyy-mm")</f>
        <v>2026-02</v>
      </c>
    </row>
    <row r="45" spans="1:11" x14ac:dyDescent="0.3">
      <c r="A45" s="1" t="s">
        <v>321</v>
      </c>
      <c r="B45" s="1" t="s">
        <v>322</v>
      </c>
      <c r="C45" s="2">
        <v>46120</v>
      </c>
      <c r="D45">
        <v>82208</v>
      </c>
      <c r="E45">
        <v>6576.64</v>
      </c>
      <c r="F45">
        <v>100</v>
      </c>
      <c r="G45">
        <v>88684.64</v>
      </c>
      <c r="H45" s="1" t="s">
        <v>252</v>
      </c>
      <c r="I45">
        <v>88684.64</v>
      </c>
      <c r="J45" t="b">
        <v>0</v>
      </c>
      <c r="K45" t="str">
        <f>TEXT(clean_invoices[[#This Row],[Invoice_Date]],"yyyy-mm")</f>
        <v>2026-04</v>
      </c>
    </row>
    <row r="46" spans="1:11" x14ac:dyDescent="0.3">
      <c r="A46" s="1" t="s">
        <v>323</v>
      </c>
      <c r="B46" s="1" t="s">
        <v>324</v>
      </c>
      <c r="C46" s="2">
        <v>45980</v>
      </c>
      <c r="D46">
        <v>71757</v>
      </c>
      <c r="E46">
        <v>5740.56</v>
      </c>
      <c r="F46">
        <v>0</v>
      </c>
      <c r="G46">
        <v>77497.56</v>
      </c>
      <c r="H46" s="1" t="s">
        <v>237</v>
      </c>
      <c r="I46">
        <v>77497.56</v>
      </c>
      <c r="J46" t="b">
        <v>0</v>
      </c>
      <c r="K46" t="str">
        <f>TEXT(clean_invoices[[#This Row],[Invoice_Date]],"yyyy-mm")</f>
        <v>2025-11</v>
      </c>
    </row>
    <row r="47" spans="1:11" x14ac:dyDescent="0.3">
      <c r="A47" s="1" t="s">
        <v>325</v>
      </c>
      <c r="B47" s="1" t="s">
        <v>326</v>
      </c>
      <c r="C47" s="2">
        <v>46045</v>
      </c>
      <c r="D47">
        <v>24375</v>
      </c>
      <c r="E47">
        <v>1950</v>
      </c>
      <c r="F47">
        <v>200</v>
      </c>
      <c r="G47">
        <v>25708</v>
      </c>
      <c r="H47" s="1" t="s">
        <v>234</v>
      </c>
      <c r="I47">
        <v>26125</v>
      </c>
      <c r="J47" t="b">
        <v>1</v>
      </c>
      <c r="K47" t="str">
        <f>TEXT(clean_invoices[[#This Row],[Invoice_Date]],"yyyy-mm")</f>
        <v>2026-01</v>
      </c>
    </row>
    <row r="48" spans="1:11" x14ac:dyDescent="0.3">
      <c r="A48" s="1" t="s">
        <v>327</v>
      </c>
      <c r="B48" s="1" t="s">
        <v>328</v>
      </c>
      <c r="C48" s="2">
        <v>45950</v>
      </c>
      <c r="D48">
        <v>80190</v>
      </c>
      <c r="E48">
        <v>6415.2</v>
      </c>
      <c r="F48">
        <v>150</v>
      </c>
      <c r="G48">
        <v>86455.2</v>
      </c>
      <c r="H48" s="1" t="s">
        <v>234</v>
      </c>
      <c r="I48">
        <v>86455.2</v>
      </c>
      <c r="J48" t="b">
        <v>0</v>
      </c>
      <c r="K48" t="str">
        <f>TEXT(clean_invoices[[#This Row],[Invoice_Date]],"yyyy-mm")</f>
        <v>2025-10</v>
      </c>
    </row>
    <row r="49" spans="1:11" x14ac:dyDescent="0.3">
      <c r="A49" s="1" t="s">
        <v>329</v>
      </c>
      <c r="B49" s="1" t="s">
        <v>330</v>
      </c>
      <c r="C49" s="2">
        <v>46209</v>
      </c>
      <c r="D49">
        <v>17550</v>
      </c>
      <c r="E49">
        <v>1404</v>
      </c>
      <c r="F49">
        <v>100</v>
      </c>
      <c r="G49">
        <v>18854</v>
      </c>
      <c r="H49" s="1" t="s">
        <v>237</v>
      </c>
      <c r="I49">
        <v>18854</v>
      </c>
      <c r="J49" t="b">
        <v>0</v>
      </c>
      <c r="K49" t="str">
        <f>TEXT(clean_invoices[[#This Row],[Invoice_Date]],"yyyy-mm")</f>
        <v>2026-07</v>
      </c>
    </row>
    <row r="50" spans="1:11" x14ac:dyDescent="0.3">
      <c r="A50" s="1" t="s">
        <v>331</v>
      </c>
      <c r="B50" s="1" t="s">
        <v>332</v>
      </c>
      <c r="C50" s="2">
        <v>46041</v>
      </c>
      <c r="D50">
        <v>212976</v>
      </c>
      <c r="E50">
        <v>17038.080000000002</v>
      </c>
      <c r="F50">
        <v>100</v>
      </c>
      <c r="G50">
        <v>229914.08</v>
      </c>
      <c r="H50" s="1" t="s">
        <v>252</v>
      </c>
      <c r="I50">
        <v>229914.08000000002</v>
      </c>
      <c r="J50" t="b">
        <v>1</v>
      </c>
      <c r="K50" t="str">
        <f>TEXT(clean_invoices[[#This Row],[Invoice_Date]],"yyyy-mm")</f>
        <v>2026-01</v>
      </c>
    </row>
    <row r="51" spans="1:11" x14ac:dyDescent="0.3">
      <c r="A51" s="1" t="s">
        <v>333</v>
      </c>
      <c r="B51" s="1" t="s">
        <v>334</v>
      </c>
      <c r="C51" s="2">
        <v>45900</v>
      </c>
      <c r="D51">
        <v>19800</v>
      </c>
      <c r="E51">
        <v>1584</v>
      </c>
      <c r="F51">
        <v>200</v>
      </c>
      <c r="G51">
        <v>21184</v>
      </c>
      <c r="H51" s="1" t="s">
        <v>237</v>
      </c>
      <c r="I51">
        <v>21184</v>
      </c>
      <c r="J51" t="b">
        <v>0</v>
      </c>
      <c r="K51" t="str">
        <f>TEXT(clean_invoices[[#This Row],[Invoice_Date]],"yyyy-mm")</f>
        <v>2025-08</v>
      </c>
    </row>
    <row r="52" spans="1:11" x14ac:dyDescent="0.3">
      <c r="A52" s="1" t="s">
        <v>335</v>
      </c>
      <c r="B52" s="1" t="s">
        <v>336</v>
      </c>
      <c r="C52" s="2">
        <v>46005</v>
      </c>
      <c r="D52">
        <v>37682</v>
      </c>
      <c r="E52">
        <v>3014.56</v>
      </c>
      <c r="F52">
        <v>50</v>
      </c>
      <c r="G52">
        <v>40646.559999999998</v>
      </c>
      <c r="H52" s="1" t="s">
        <v>237</v>
      </c>
      <c r="I52">
        <v>40646.559999999998</v>
      </c>
      <c r="J52" t="b">
        <v>0</v>
      </c>
      <c r="K52" t="str">
        <f>TEXT(clean_invoices[[#This Row],[Invoice_Date]],"yyyy-mm")</f>
        <v>2025-12</v>
      </c>
    </row>
    <row r="53" spans="1:11" x14ac:dyDescent="0.3">
      <c r="A53" s="1" t="s">
        <v>337</v>
      </c>
      <c r="B53" s="1" t="s">
        <v>338</v>
      </c>
      <c r="C53" s="2">
        <v>45886</v>
      </c>
      <c r="D53">
        <v>42823</v>
      </c>
      <c r="E53">
        <v>3425.84</v>
      </c>
      <c r="F53">
        <v>0</v>
      </c>
      <c r="G53">
        <v>46248.84</v>
      </c>
      <c r="H53" s="1" t="s">
        <v>237</v>
      </c>
      <c r="I53">
        <v>46248.84</v>
      </c>
      <c r="J53" t="b">
        <v>0</v>
      </c>
      <c r="K53" t="str">
        <f>TEXT(clean_invoices[[#This Row],[Invoice_Date]],"yyyy-mm")</f>
        <v>2025-08</v>
      </c>
    </row>
    <row r="54" spans="1:11" x14ac:dyDescent="0.3">
      <c r="A54" s="1" t="s">
        <v>339</v>
      </c>
      <c r="B54" s="1" t="s">
        <v>340</v>
      </c>
      <c r="C54" s="2">
        <v>45925</v>
      </c>
      <c r="D54">
        <v>27730</v>
      </c>
      <c r="E54">
        <v>2218.4</v>
      </c>
      <c r="F54">
        <v>100</v>
      </c>
      <c r="G54">
        <v>29848.400000000001</v>
      </c>
      <c r="H54" s="1" t="s">
        <v>237</v>
      </c>
      <c r="I54">
        <v>29848.400000000001</v>
      </c>
      <c r="J54" t="b">
        <v>0</v>
      </c>
      <c r="K54" t="str">
        <f>TEXT(clean_invoices[[#This Row],[Invoice_Date]],"yyyy-mm")</f>
        <v>2025-09</v>
      </c>
    </row>
    <row r="55" spans="1:11" x14ac:dyDescent="0.3">
      <c r="A55" s="1" t="s">
        <v>341</v>
      </c>
      <c r="B55" s="1" t="s">
        <v>342</v>
      </c>
      <c r="C55" s="2">
        <v>46144</v>
      </c>
      <c r="D55">
        <v>39498</v>
      </c>
      <c r="E55">
        <v>3159.84</v>
      </c>
      <c r="F55">
        <v>150</v>
      </c>
      <c r="G55">
        <v>42507.839999999997</v>
      </c>
      <c r="H55" s="1" t="s">
        <v>237</v>
      </c>
      <c r="I55">
        <v>42507.839999999997</v>
      </c>
      <c r="J55" t="b">
        <v>0</v>
      </c>
      <c r="K55" t="str">
        <f>TEXT(clean_invoices[[#This Row],[Invoice_Date]],"yyyy-mm")</f>
        <v>2026-05</v>
      </c>
    </row>
    <row r="56" spans="1:11" x14ac:dyDescent="0.3">
      <c r="A56" s="1" t="s">
        <v>343</v>
      </c>
      <c r="B56" s="1" t="s">
        <v>344</v>
      </c>
      <c r="C56" s="2">
        <v>46193</v>
      </c>
      <c r="D56">
        <v>30480</v>
      </c>
      <c r="E56">
        <v>2438.4</v>
      </c>
      <c r="F56">
        <v>150</v>
      </c>
      <c r="G56">
        <v>32768.400000000001</v>
      </c>
      <c r="H56" s="1" t="s">
        <v>252</v>
      </c>
      <c r="I56">
        <v>32768.400000000001</v>
      </c>
      <c r="J56" t="b">
        <v>0</v>
      </c>
      <c r="K56" t="str">
        <f>TEXT(clean_invoices[[#This Row],[Invoice_Date]],"yyyy-mm")</f>
        <v>2026-06</v>
      </c>
    </row>
    <row r="57" spans="1:11" x14ac:dyDescent="0.3">
      <c r="A57" s="1" t="s">
        <v>345</v>
      </c>
      <c r="B57" s="1" t="s">
        <v>346</v>
      </c>
      <c r="C57" s="2">
        <v>46179</v>
      </c>
      <c r="D57">
        <v>47085</v>
      </c>
      <c r="E57">
        <v>3766.8</v>
      </c>
      <c r="F57">
        <v>200</v>
      </c>
      <c r="G57">
        <v>50651.8</v>
      </c>
      <c r="H57" s="1" t="s">
        <v>237</v>
      </c>
      <c r="I57">
        <v>50651.8</v>
      </c>
      <c r="J57" t="b">
        <v>0</v>
      </c>
      <c r="K57" t="str">
        <f>TEXT(clean_invoices[[#This Row],[Invoice_Date]],"yyyy-mm")</f>
        <v>2026-06</v>
      </c>
    </row>
    <row r="58" spans="1:11" x14ac:dyDescent="0.3">
      <c r="A58" s="1" t="s">
        <v>347</v>
      </c>
      <c r="B58" s="1" t="s">
        <v>348</v>
      </c>
      <c r="C58" s="2">
        <v>45920</v>
      </c>
      <c r="D58">
        <v>22491</v>
      </c>
      <c r="E58">
        <v>1799.28</v>
      </c>
      <c r="F58">
        <v>150</v>
      </c>
      <c r="G58">
        <v>24140.28</v>
      </c>
      <c r="H58" s="1" t="s">
        <v>234</v>
      </c>
      <c r="I58">
        <v>24140.28</v>
      </c>
      <c r="J58" t="b">
        <v>0</v>
      </c>
      <c r="K58" t="str">
        <f>TEXT(clean_invoices[[#This Row],[Invoice_Date]],"yyyy-mm")</f>
        <v>2025-09</v>
      </c>
    </row>
    <row r="59" spans="1:11" x14ac:dyDescent="0.3">
      <c r="A59" s="1" t="s">
        <v>349</v>
      </c>
      <c r="B59" s="1" t="s">
        <v>350</v>
      </c>
      <c r="C59" s="2">
        <v>45962</v>
      </c>
      <c r="D59">
        <v>64367</v>
      </c>
      <c r="E59">
        <v>5149.3599999999997</v>
      </c>
      <c r="F59">
        <v>0</v>
      </c>
      <c r="G59">
        <v>69516.36</v>
      </c>
      <c r="H59" s="1" t="s">
        <v>234</v>
      </c>
      <c r="I59">
        <v>69516.36</v>
      </c>
      <c r="J59" t="b">
        <v>0</v>
      </c>
      <c r="K59" t="str">
        <f>TEXT(clean_invoices[[#This Row],[Invoice_Date]],"yyyy-mm")</f>
        <v>2025-11</v>
      </c>
    </row>
    <row r="60" spans="1:11" x14ac:dyDescent="0.3">
      <c r="A60" s="1" t="s">
        <v>351</v>
      </c>
      <c r="B60" s="1" t="s">
        <v>352</v>
      </c>
      <c r="C60" s="2">
        <v>45976</v>
      </c>
      <c r="D60">
        <v>58320</v>
      </c>
      <c r="E60">
        <v>4665.6000000000004</v>
      </c>
      <c r="F60">
        <v>200</v>
      </c>
      <c r="G60">
        <v>62785.599999999999</v>
      </c>
      <c r="H60" s="1" t="s">
        <v>252</v>
      </c>
      <c r="I60">
        <v>62785.599999999999</v>
      </c>
      <c r="J60" t="b">
        <v>0</v>
      </c>
      <c r="K60" t="str">
        <f>TEXT(clean_invoices[[#This Row],[Invoice_Date]],"yyyy-mm")</f>
        <v>2025-11</v>
      </c>
    </row>
    <row r="61" spans="1:11" x14ac:dyDescent="0.3">
      <c r="A61" s="1" t="s">
        <v>353</v>
      </c>
      <c r="B61" s="1" t="s">
        <v>354</v>
      </c>
      <c r="C61" s="2">
        <v>46062</v>
      </c>
      <c r="D61">
        <v>38135</v>
      </c>
      <c r="E61">
        <v>3050.8</v>
      </c>
      <c r="F61">
        <v>150</v>
      </c>
      <c r="G61">
        <v>41035.800000000003</v>
      </c>
      <c r="H61" s="1" t="s">
        <v>237</v>
      </c>
      <c r="I61">
        <v>41035.800000000003</v>
      </c>
      <c r="J61" t="b">
        <v>0</v>
      </c>
      <c r="K61" t="str">
        <f>TEXT(clean_invoices[[#This Row],[Invoice_Date]],"yyyy-mm")</f>
        <v>2026-02</v>
      </c>
    </row>
    <row r="62" spans="1:11" x14ac:dyDescent="0.3">
      <c r="A62" s="1" t="s">
        <v>355</v>
      </c>
      <c r="B62" s="1" t="s">
        <v>356</v>
      </c>
      <c r="C62" s="2">
        <v>45987</v>
      </c>
      <c r="D62">
        <v>37366</v>
      </c>
      <c r="E62">
        <v>2989.28</v>
      </c>
      <c r="F62">
        <v>100</v>
      </c>
      <c r="G62">
        <v>40255.279999999999</v>
      </c>
      <c r="H62" s="1" t="s">
        <v>234</v>
      </c>
      <c r="I62">
        <v>40255.279999999999</v>
      </c>
      <c r="J62" t="b">
        <v>0</v>
      </c>
      <c r="K62" t="str">
        <f>TEXT(clean_invoices[[#This Row],[Invoice_Date]],"yyyy-mm")</f>
        <v>2025-11</v>
      </c>
    </row>
    <row r="63" spans="1:11" x14ac:dyDescent="0.3">
      <c r="A63" s="1" t="s">
        <v>357</v>
      </c>
      <c r="B63" s="1" t="s">
        <v>358</v>
      </c>
      <c r="C63" s="2">
        <v>45866</v>
      </c>
      <c r="D63">
        <v>33725</v>
      </c>
      <c r="E63">
        <v>2698</v>
      </c>
      <c r="F63">
        <v>100</v>
      </c>
      <c r="G63">
        <v>36687</v>
      </c>
      <c r="H63" s="1" t="s">
        <v>237</v>
      </c>
      <c r="I63">
        <v>36323</v>
      </c>
      <c r="J63" t="b">
        <v>1</v>
      </c>
      <c r="K63" t="str">
        <f>TEXT(clean_invoices[[#This Row],[Invoice_Date]],"yyyy-mm")</f>
        <v>2025-07</v>
      </c>
    </row>
    <row r="64" spans="1:11" x14ac:dyDescent="0.3">
      <c r="A64" s="1" t="s">
        <v>359</v>
      </c>
      <c r="B64" s="1" t="s">
        <v>360</v>
      </c>
      <c r="C64" s="2">
        <v>46155</v>
      </c>
      <c r="D64">
        <v>47410</v>
      </c>
      <c r="E64">
        <v>3792.8</v>
      </c>
      <c r="F64">
        <v>150</v>
      </c>
      <c r="G64">
        <v>51052.800000000003</v>
      </c>
      <c r="H64" s="1" t="s">
        <v>237</v>
      </c>
      <c r="I64">
        <v>51052.800000000003</v>
      </c>
      <c r="J64" t="b">
        <v>0</v>
      </c>
      <c r="K64" t="str">
        <f>TEXT(clean_invoices[[#This Row],[Invoice_Date]],"yyyy-mm")</f>
        <v>2026-05</v>
      </c>
    </row>
    <row r="65" spans="1:11" x14ac:dyDescent="0.3">
      <c r="A65" s="1" t="s">
        <v>361</v>
      </c>
      <c r="B65" s="1" t="s">
        <v>362</v>
      </c>
      <c r="C65" s="2">
        <v>46149</v>
      </c>
      <c r="D65">
        <v>71883</v>
      </c>
      <c r="E65">
        <v>5750.64</v>
      </c>
      <c r="F65">
        <v>150</v>
      </c>
      <c r="G65">
        <v>77483.64</v>
      </c>
      <c r="H65" s="1" t="s">
        <v>237</v>
      </c>
      <c r="I65">
        <v>77483.64</v>
      </c>
      <c r="J65" t="b">
        <v>0</v>
      </c>
      <c r="K65" t="str">
        <f>TEXT(clean_invoices[[#This Row],[Invoice_Date]],"yyyy-mm")</f>
        <v>2026-05</v>
      </c>
    </row>
    <row r="66" spans="1:11" x14ac:dyDescent="0.3">
      <c r="A66" s="1" t="s">
        <v>363</v>
      </c>
      <c r="B66" s="1" t="s">
        <v>364</v>
      </c>
      <c r="C66" s="2">
        <v>46151</v>
      </c>
      <c r="D66">
        <v>105051</v>
      </c>
      <c r="E66">
        <v>8404.08</v>
      </c>
      <c r="F66">
        <v>100</v>
      </c>
      <c r="G66">
        <v>113355.08</v>
      </c>
      <c r="H66" s="1" t="s">
        <v>252</v>
      </c>
      <c r="I66">
        <v>113355.08</v>
      </c>
      <c r="J66" t="b">
        <v>0</v>
      </c>
      <c r="K66" t="str">
        <f>TEXT(clean_invoices[[#This Row],[Invoice_Date]],"yyyy-mm")</f>
        <v>2026-05</v>
      </c>
    </row>
    <row r="67" spans="1:11" x14ac:dyDescent="0.3">
      <c r="A67" s="1" t="s">
        <v>365</v>
      </c>
      <c r="B67" s="1" t="s">
        <v>366</v>
      </c>
      <c r="C67" s="2">
        <v>46034</v>
      </c>
      <c r="D67">
        <v>117096</v>
      </c>
      <c r="E67">
        <v>9367.68</v>
      </c>
      <c r="F67">
        <v>0</v>
      </c>
      <c r="G67">
        <v>126463.67999999999</v>
      </c>
      <c r="H67" s="1" t="s">
        <v>234</v>
      </c>
      <c r="I67">
        <v>126463.67999999999</v>
      </c>
      <c r="J67" t="b">
        <v>0</v>
      </c>
      <c r="K67" t="str">
        <f>TEXT(clean_invoices[[#This Row],[Invoice_Date]],"yyyy-mm")</f>
        <v>2026-01</v>
      </c>
    </row>
    <row r="68" spans="1:11" x14ac:dyDescent="0.3">
      <c r="A68" s="1" t="s">
        <v>367</v>
      </c>
      <c r="B68" s="1" t="s">
        <v>368</v>
      </c>
      <c r="C68" s="2">
        <v>45859</v>
      </c>
      <c r="D68">
        <v>48379</v>
      </c>
      <c r="E68">
        <v>3870.32</v>
      </c>
      <c r="F68">
        <v>100</v>
      </c>
      <c r="G68">
        <v>52149.32</v>
      </c>
      <c r="H68" s="1" t="s">
        <v>237</v>
      </c>
      <c r="I68">
        <v>52149.32</v>
      </c>
      <c r="J68" t="b">
        <v>0</v>
      </c>
      <c r="K68" t="str">
        <f>TEXT(clean_invoices[[#This Row],[Invoice_Date]],"yyyy-mm")</f>
        <v>2025-07</v>
      </c>
    </row>
    <row r="69" spans="1:11" x14ac:dyDescent="0.3">
      <c r="A69" s="1" t="s">
        <v>369</v>
      </c>
      <c r="B69" s="1" t="s">
        <v>370</v>
      </c>
      <c r="C69" s="2">
        <v>45916</v>
      </c>
      <c r="D69">
        <v>65700</v>
      </c>
      <c r="E69">
        <v>5256</v>
      </c>
      <c r="F69">
        <v>0</v>
      </c>
      <c r="G69">
        <v>70658</v>
      </c>
      <c r="H69" s="1" t="s">
        <v>252</v>
      </c>
      <c r="I69">
        <v>70956</v>
      </c>
      <c r="J69" t="b">
        <v>1</v>
      </c>
      <c r="K69" t="str">
        <f>TEXT(clean_invoices[[#This Row],[Invoice_Date]],"yyyy-mm")</f>
        <v>2025-09</v>
      </c>
    </row>
    <row r="70" spans="1:11" x14ac:dyDescent="0.3">
      <c r="A70" s="1" t="s">
        <v>371</v>
      </c>
      <c r="B70" s="1" t="s">
        <v>372</v>
      </c>
      <c r="C70" s="2">
        <v>45862</v>
      </c>
      <c r="D70">
        <v>22720</v>
      </c>
      <c r="E70">
        <v>1817.6</v>
      </c>
      <c r="F70">
        <v>50</v>
      </c>
      <c r="G70">
        <v>24487.599999999999</v>
      </c>
      <c r="H70" s="1" t="s">
        <v>237</v>
      </c>
      <c r="I70">
        <v>24487.599999999999</v>
      </c>
      <c r="J70" t="b">
        <v>0</v>
      </c>
      <c r="K70" t="str">
        <f>TEXT(clean_invoices[[#This Row],[Invoice_Date]],"yyyy-mm")</f>
        <v>2025-07</v>
      </c>
    </row>
    <row r="71" spans="1:11" x14ac:dyDescent="0.3">
      <c r="A71" s="1" t="s">
        <v>373</v>
      </c>
      <c r="B71" s="1" t="s">
        <v>374</v>
      </c>
      <c r="C71" s="2">
        <v>46014</v>
      </c>
      <c r="D71">
        <v>22260</v>
      </c>
      <c r="E71">
        <v>1780.8</v>
      </c>
      <c r="F71">
        <v>150</v>
      </c>
      <c r="G71">
        <v>23890.799999999999</v>
      </c>
      <c r="H71" s="1" t="s">
        <v>252</v>
      </c>
      <c r="I71">
        <v>23890.799999999999</v>
      </c>
      <c r="J71" t="b">
        <v>0</v>
      </c>
      <c r="K71" t="str">
        <f>TEXT(clean_invoices[[#This Row],[Invoice_Date]],"yyyy-mm")</f>
        <v>2025-12</v>
      </c>
    </row>
    <row r="72" spans="1:11" x14ac:dyDescent="0.3">
      <c r="A72" s="1" t="s">
        <v>375</v>
      </c>
      <c r="B72" s="1" t="s">
        <v>376</v>
      </c>
      <c r="C72" s="2">
        <v>46189</v>
      </c>
      <c r="D72">
        <v>8730</v>
      </c>
      <c r="E72">
        <v>698.4</v>
      </c>
      <c r="F72">
        <v>150</v>
      </c>
      <c r="G72">
        <v>9278.4</v>
      </c>
      <c r="H72" s="1" t="s">
        <v>252</v>
      </c>
      <c r="I72">
        <v>9278.4</v>
      </c>
      <c r="J72" t="b">
        <v>0</v>
      </c>
      <c r="K72" t="str">
        <f>TEXT(clean_invoices[[#This Row],[Invoice_Date]],"yyyy-mm")</f>
        <v>2026-06</v>
      </c>
    </row>
    <row r="73" spans="1:11" x14ac:dyDescent="0.3">
      <c r="A73" s="1" t="s">
        <v>377</v>
      </c>
      <c r="B73" s="1" t="s">
        <v>378</v>
      </c>
      <c r="C73" s="2">
        <v>45989</v>
      </c>
      <c r="D73">
        <v>49149</v>
      </c>
      <c r="E73">
        <v>3931.92</v>
      </c>
      <c r="F73">
        <v>200</v>
      </c>
      <c r="G73">
        <v>52880.92</v>
      </c>
      <c r="H73" s="1" t="s">
        <v>237</v>
      </c>
      <c r="I73">
        <v>52880.92</v>
      </c>
      <c r="J73" t="b">
        <v>0</v>
      </c>
      <c r="K73" t="str">
        <f>TEXT(clean_invoices[[#This Row],[Invoice_Date]],"yyyy-mm")</f>
        <v>2025-11</v>
      </c>
    </row>
    <row r="74" spans="1:11" x14ac:dyDescent="0.3">
      <c r="A74" s="1" t="s">
        <v>379</v>
      </c>
      <c r="B74" s="1" t="s">
        <v>380</v>
      </c>
      <c r="C74" s="2">
        <v>46088</v>
      </c>
      <c r="D74">
        <v>76626</v>
      </c>
      <c r="E74">
        <v>6130.08</v>
      </c>
      <c r="F74">
        <v>150</v>
      </c>
      <c r="G74">
        <v>82558.080000000002</v>
      </c>
      <c r="H74" s="1" t="s">
        <v>234</v>
      </c>
      <c r="I74">
        <v>82606.080000000002</v>
      </c>
      <c r="J74" t="b">
        <v>1</v>
      </c>
      <c r="K74" t="str">
        <f>TEXT(clean_invoices[[#This Row],[Invoice_Date]],"yyyy-mm")</f>
        <v>2026-03</v>
      </c>
    </row>
    <row r="75" spans="1:11" x14ac:dyDescent="0.3">
      <c r="A75" s="1" t="s">
        <v>381</v>
      </c>
      <c r="B75" s="1" t="s">
        <v>382</v>
      </c>
      <c r="C75" s="2">
        <v>46201</v>
      </c>
      <c r="D75">
        <v>105777</v>
      </c>
      <c r="E75">
        <v>8462.16</v>
      </c>
      <c r="F75">
        <v>200</v>
      </c>
      <c r="G75">
        <v>114058.16</v>
      </c>
      <c r="H75" s="1" t="s">
        <v>234</v>
      </c>
      <c r="I75">
        <v>114039.16</v>
      </c>
      <c r="J75" t="b">
        <v>1</v>
      </c>
      <c r="K75" t="str">
        <f>TEXT(clean_invoices[[#This Row],[Invoice_Date]],"yyyy-mm")</f>
        <v>2026-06</v>
      </c>
    </row>
    <row r="76" spans="1:11" x14ac:dyDescent="0.3">
      <c r="A76" s="1" t="s">
        <v>383</v>
      </c>
      <c r="B76" s="1" t="s">
        <v>384</v>
      </c>
      <c r="C76" s="2">
        <v>46191</v>
      </c>
      <c r="D76">
        <v>4600</v>
      </c>
      <c r="E76">
        <v>368</v>
      </c>
      <c r="F76">
        <v>150</v>
      </c>
      <c r="G76">
        <v>4818</v>
      </c>
      <c r="H76" s="1" t="s">
        <v>234</v>
      </c>
      <c r="I76">
        <v>4818</v>
      </c>
      <c r="J76" t="b">
        <v>0</v>
      </c>
      <c r="K76" t="str">
        <f>TEXT(clean_invoices[[#This Row],[Invoice_Date]],"yyyy-mm")</f>
        <v>2026-06</v>
      </c>
    </row>
    <row r="77" spans="1:11" x14ac:dyDescent="0.3">
      <c r="A77" s="1" t="s">
        <v>385</v>
      </c>
      <c r="B77" s="1" t="s">
        <v>386</v>
      </c>
      <c r="C77" s="2">
        <v>46135</v>
      </c>
      <c r="D77">
        <v>159192</v>
      </c>
      <c r="E77">
        <v>12735.36</v>
      </c>
      <c r="F77">
        <v>100</v>
      </c>
      <c r="G77">
        <v>172211.36</v>
      </c>
      <c r="H77" s="1" t="s">
        <v>252</v>
      </c>
      <c r="I77">
        <v>171827.36</v>
      </c>
      <c r="J77" t="b">
        <v>1</v>
      </c>
      <c r="K77" t="str">
        <f>TEXT(clean_invoices[[#This Row],[Invoice_Date]],"yyyy-mm")</f>
        <v>2026-04</v>
      </c>
    </row>
    <row r="78" spans="1:11" x14ac:dyDescent="0.3">
      <c r="A78" s="1" t="s">
        <v>387</v>
      </c>
      <c r="B78" s="1" t="s">
        <v>388</v>
      </c>
      <c r="C78" s="2">
        <v>45929</v>
      </c>
      <c r="D78">
        <v>20988</v>
      </c>
      <c r="E78">
        <v>1679.04</v>
      </c>
      <c r="F78">
        <v>200</v>
      </c>
      <c r="G78">
        <v>22467.040000000001</v>
      </c>
      <c r="H78" s="1" t="s">
        <v>252</v>
      </c>
      <c r="I78">
        <v>22467.040000000001</v>
      </c>
      <c r="J78" t="b">
        <v>0</v>
      </c>
      <c r="K78" t="str">
        <f>TEXT(clean_invoices[[#This Row],[Invoice_Date]],"yyyy-mm")</f>
        <v>2025-09</v>
      </c>
    </row>
    <row r="79" spans="1:11" x14ac:dyDescent="0.3">
      <c r="A79" s="1" t="s">
        <v>389</v>
      </c>
      <c r="B79" s="1" t="s">
        <v>390</v>
      </c>
      <c r="C79" s="2">
        <v>46088</v>
      </c>
      <c r="D79">
        <v>69504</v>
      </c>
      <c r="E79">
        <v>5560.32</v>
      </c>
      <c r="F79">
        <v>200</v>
      </c>
      <c r="G79">
        <v>74864.320000000007</v>
      </c>
      <c r="H79" s="1" t="s">
        <v>234</v>
      </c>
      <c r="I79">
        <v>74864.320000000007</v>
      </c>
      <c r="J79" t="b">
        <v>0</v>
      </c>
      <c r="K79" t="str">
        <f>TEXT(clean_invoices[[#This Row],[Invoice_Date]],"yyyy-mm")</f>
        <v>2026-03</v>
      </c>
    </row>
    <row r="80" spans="1:11" x14ac:dyDescent="0.3">
      <c r="A80" s="1" t="s">
        <v>391</v>
      </c>
      <c r="B80" s="1" t="s">
        <v>392</v>
      </c>
      <c r="C80" s="2">
        <v>45990</v>
      </c>
      <c r="D80">
        <v>99034</v>
      </c>
      <c r="E80">
        <v>7922.72</v>
      </c>
      <c r="F80">
        <v>200</v>
      </c>
      <c r="G80">
        <v>106756.72</v>
      </c>
      <c r="H80" s="1" t="s">
        <v>252</v>
      </c>
      <c r="I80">
        <v>106756.72</v>
      </c>
      <c r="J80" t="b">
        <v>0</v>
      </c>
      <c r="K80" t="str">
        <f>TEXT(clean_invoices[[#This Row],[Invoice_Date]],"yyyy-mm")</f>
        <v>2025-11</v>
      </c>
    </row>
    <row r="81" spans="1:11" x14ac:dyDescent="0.3">
      <c r="A81" s="1" t="s">
        <v>393</v>
      </c>
      <c r="B81" s="1" t="s">
        <v>394</v>
      </c>
      <c r="C81" s="2">
        <v>45883</v>
      </c>
      <c r="D81">
        <v>11847</v>
      </c>
      <c r="E81">
        <v>947.76</v>
      </c>
      <c r="F81">
        <v>150</v>
      </c>
      <c r="G81">
        <v>12644.76</v>
      </c>
      <c r="H81" s="1" t="s">
        <v>234</v>
      </c>
      <c r="I81">
        <v>12644.76</v>
      </c>
      <c r="J81" t="b">
        <v>0</v>
      </c>
      <c r="K81" t="str">
        <f>TEXT(clean_invoices[[#This Row],[Invoice_Date]],"yyyy-mm")</f>
        <v>2025-08</v>
      </c>
    </row>
    <row r="82" spans="1:11" x14ac:dyDescent="0.3">
      <c r="A82" s="1" t="s">
        <v>395</v>
      </c>
      <c r="B82" s="1" t="s">
        <v>396</v>
      </c>
      <c r="C82" s="2">
        <v>46031</v>
      </c>
      <c r="D82">
        <v>5085</v>
      </c>
      <c r="E82">
        <v>406.8</v>
      </c>
      <c r="F82">
        <v>0</v>
      </c>
      <c r="G82">
        <v>5491.8</v>
      </c>
      <c r="H82" s="1" t="s">
        <v>252</v>
      </c>
      <c r="I82">
        <v>5491.8</v>
      </c>
      <c r="J82" t="b">
        <v>0</v>
      </c>
      <c r="K82" t="str">
        <f>TEXT(clean_invoices[[#This Row],[Invoice_Date]],"yyyy-mm")</f>
        <v>2026-01</v>
      </c>
    </row>
    <row r="83" spans="1:11" x14ac:dyDescent="0.3">
      <c r="A83" s="1" t="s">
        <v>397</v>
      </c>
      <c r="B83" s="1" t="s">
        <v>398</v>
      </c>
      <c r="C83" s="2">
        <v>46165</v>
      </c>
      <c r="D83">
        <v>47124</v>
      </c>
      <c r="E83">
        <v>3769.92</v>
      </c>
      <c r="F83">
        <v>0</v>
      </c>
      <c r="G83">
        <v>50893.919999999998</v>
      </c>
      <c r="H83" s="1" t="s">
        <v>237</v>
      </c>
      <c r="I83">
        <v>50893.919999999998</v>
      </c>
      <c r="J83" t="b">
        <v>0</v>
      </c>
      <c r="K83" t="str">
        <f>TEXT(clean_invoices[[#This Row],[Invoice_Date]],"yyyy-mm")</f>
        <v>2026-05</v>
      </c>
    </row>
    <row r="84" spans="1:11" x14ac:dyDescent="0.3">
      <c r="A84" s="1" t="s">
        <v>399</v>
      </c>
      <c r="B84" s="1" t="s">
        <v>400</v>
      </c>
      <c r="C84" s="2">
        <v>46152</v>
      </c>
      <c r="D84">
        <v>104575</v>
      </c>
      <c r="E84">
        <v>8366</v>
      </c>
      <c r="F84">
        <v>50</v>
      </c>
      <c r="G84">
        <v>112891</v>
      </c>
      <c r="H84" s="1" t="s">
        <v>252</v>
      </c>
      <c r="I84">
        <v>112891</v>
      </c>
      <c r="J84" t="b">
        <v>0</v>
      </c>
      <c r="K84" t="str">
        <f>TEXT(clean_invoices[[#This Row],[Invoice_Date]],"yyyy-mm")</f>
        <v>2026-05</v>
      </c>
    </row>
    <row r="85" spans="1:11" x14ac:dyDescent="0.3">
      <c r="A85" s="1" t="s">
        <v>401</v>
      </c>
      <c r="B85" s="1" t="s">
        <v>402</v>
      </c>
      <c r="C85" s="2">
        <v>46143</v>
      </c>
      <c r="D85">
        <v>119288</v>
      </c>
      <c r="E85">
        <v>9543.0400000000009</v>
      </c>
      <c r="F85">
        <v>200</v>
      </c>
      <c r="G85">
        <v>128631.03999999999</v>
      </c>
      <c r="H85" s="1" t="s">
        <v>234</v>
      </c>
      <c r="I85">
        <v>128631.04000000001</v>
      </c>
      <c r="J85" t="b">
        <v>1</v>
      </c>
      <c r="K85" t="str">
        <f>TEXT(clean_invoices[[#This Row],[Invoice_Date]],"yyyy-mm")</f>
        <v>2026-05</v>
      </c>
    </row>
    <row r="86" spans="1:11" x14ac:dyDescent="0.3">
      <c r="A86" s="1" t="s">
        <v>403</v>
      </c>
      <c r="B86" s="1" t="s">
        <v>404</v>
      </c>
      <c r="C86" s="2">
        <v>46068</v>
      </c>
      <c r="D86">
        <v>23045</v>
      </c>
      <c r="E86">
        <v>1843.6</v>
      </c>
      <c r="F86">
        <v>100</v>
      </c>
      <c r="G86">
        <v>24788.6</v>
      </c>
      <c r="H86" s="1" t="s">
        <v>252</v>
      </c>
      <c r="I86">
        <v>24788.6</v>
      </c>
      <c r="J86" t="b">
        <v>0</v>
      </c>
      <c r="K86" t="str">
        <f>TEXT(clean_invoices[[#This Row],[Invoice_Date]],"yyyy-mm")</f>
        <v>2026-02</v>
      </c>
    </row>
    <row r="87" spans="1:11" x14ac:dyDescent="0.3">
      <c r="A87" s="1" t="s">
        <v>405</v>
      </c>
      <c r="B87" s="1" t="s">
        <v>406</v>
      </c>
      <c r="C87" s="2">
        <v>46178</v>
      </c>
      <c r="D87">
        <v>13470</v>
      </c>
      <c r="E87">
        <v>1077.5999999999999</v>
      </c>
      <c r="F87">
        <v>200</v>
      </c>
      <c r="G87">
        <v>14493.6</v>
      </c>
      <c r="H87" s="1" t="s">
        <v>237</v>
      </c>
      <c r="I87">
        <v>14347.6</v>
      </c>
      <c r="J87" t="b">
        <v>1</v>
      </c>
      <c r="K87" t="str">
        <f>TEXT(clean_invoices[[#This Row],[Invoice_Date]],"yyyy-mm")</f>
        <v>2026-06</v>
      </c>
    </row>
    <row r="88" spans="1:11" x14ac:dyDescent="0.3">
      <c r="A88" s="1" t="s">
        <v>407</v>
      </c>
      <c r="B88" s="1" t="s">
        <v>408</v>
      </c>
      <c r="C88" s="2">
        <v>46059</v>
      </c>
      <c r="D88">
        <v>28236</v>
      </c>
      <c r="E88">
        <v>2258.88</v>
      </c>
      <c r="F88">
        <v>100</v>
      </c>
      <c r="G88">
        <v>30588.880000000001</v>
      </c>
      <c r="H88" s="1" t="s">
        <v>234</v>
      </c>
      <c r="I88">
        <v>30394.880000000001</v>
      </c>
      <c r="J88" t="b">
        <v>1</v>
      </c>
      <c r="K88" t="str">
        <f>TEXT(clean_invoices[[#This Row],[Invoice_Date]],"yyyy-mm")</f>
        <v>2026-02</v>
      </c>
    </row>
    <row r="89" spans="1:11" x14ac:dyDescent="0.3">
      <c r="A89" s="1" t="s">
        <v>409</v>
      </c>
      <c r="B89" s="1" t="s">
        <v>410</v>
      </c>
      <c r="C89" s="2">
        <v>45931</v>
      </c>
      <c r="D89">
        <v>85696</v>
      </c>
      <c r="E89">
        <v>6855.68</v>
      </c>
      <c r="F89">
        <v>100</v>
      </c>
      <c r="G89">
        <v>92451.68</v>
      </c>
      <c r="H89" s="1" t="s">
        <v>237</v>
      </c>
      <c r="I89">
        <v>92451.68</v>
      </c>
      <c r="J89" t="b">
        <v>0</v>
      </c>
      <c r="K89" t="str">
        <f>TEXT(clean_invoices[[#This Row],[Invoice_Date]],"yyyy-mm")</f>
        <v>2025-10</v>
      </c>
    </row>
    <row r="90" spans="1:11" x14ac:dyDescent="0.3">
      <c r="A90" s="1" t="s">
        <v>411</v>
      </c>
      <c r="B90" s="1" t="s">
        <v>412</v>
      </c>
      <c r="C90" s="2">
        <v>46061</v>
      </c>
      <c r="D90">
        <v>30186</v>
      </c>
      <c r="E90">
        <v>2414.88</v>
      </c>
      <c r="F90">
        <v>100</v>
      </c>
      <c r="G90">
        <v>32679.88</v>
      </c>
      <c r="H90" s="1" t="s">
        <v>234</v>
      </c>
      <c r="I90">
        <v>32500.880000000001</v>
      </c>
      <c r="J90" t="b">
        <v>1</v>
      </c>
      <c r="K90" t="str">
        <f>TEXT(clean_invoices[[#This Row],[Invoice_Date]],"yyyy-mm")</f>
        <v>2026-02</v>
      </c>
    </row>
    <row r="91" spans="1:11" x14ac:dyDescent="0.3">
      <c r="A91" s="1" t="s">
        <v>413</v>
      </c>
      <c r="B91" s="1" t="s">
        <v>414</v>
      </c>
      <c r="C91" s="2">
        <v>45997</v>
      </c>
      <c r="D91">
        <v>16335</v>
      </c>
      <c r="E91">
        <v>1306.8</v>
      </c>
      <c r="F91">
        <v>100</v>
      </c>
      <c r="G91">
        <v>17541.8</v>
      </c>
      <c r="H91" s="1" t="s">
        <v>237</v>
      </c>
      <c r="I91">
        <v>17541.8</v>
      </c>
      <c r="J91" t="b">
        <v>0</v>
      </c>
      <c r="K91" t="str">
        <f>TEXT(clean_invoices[[#This Row],[Invoice_Date]],"yyyy-mm")</f>
        <v>2025-12</v>
      </c>
    </row>
    <row r="92" spans="1:11" x14ac:dyDescent="0.3">
      <c r="A92" s="1" t="s">
        <v>415</v>
      </c>
      <c r="B92" s="1" t="s">
        <v>416</v>
      </c>
      <c r="C92" s="2">
        <v>45854</v>
      </c>
      <c r="D92">
        <v>86078</v>
      </c>
      <c r="E92">
        <v>6886.24</v>
      </c>
      <c r="F92">
        <v>200</v>
      </c>
      <c r="G92">
        <v>92764.24</v>
      </c>
      <c r="H92" s="1" t="s">
        <v>234</v>
      </c>
      <c r="I92">
        <v>92764.24</v>
      </c>
      <c r="J92" t="b">
        <v>0</v>
      </c>
      <c r="K92" t="str">
        <f>TEXT(clean_invoices[[#This Row],[Invoice_Date]],"yyyy-mm")</f>
        <v>2025-07</v>
      </c>
    </row>
    <row r="93" spans="1:11" x14ac:dyDescent="0.3">
      <c r="A93" s="1" t="s">
        <v>417</v>
      </c>
      <c r="B93" s="1" t="s">
        <v>418</v>
      </c>
      <c r="C93" s="2">
        <v>46136</v>
      </c>
      <c r="D93">
        <v>151745</v>
      </c>
      <c r="E93">
        <v>12139.6</v>
      </c>
      <c r="F93">
        <v>200</v>
      </c>
      <c r="G93">
        <v>163684.6</v>
      </c>
      <c r="H93" s="1" t="s">
        <v>237</v>
      </c>
      <c r="I93">
        <v>163684.6</v>
      </c>
      <c r="J93" t="b">
        <v>0</v>
      </c>
      <c r="K93" t="str">
        <f>TEXT(clean_invoices[[#This Row],[Invoice_Date]],"yyyy-mm")</f>
        <v>2026-04</v>
      </c>
    </row>
    <row r="94" spans="1:11" x14ac:dyDescent="0.3">
      <c r="A94" s="1" t="s">
        <v>419</v>
      </c>
      <c r="B94" s="1" t="s">
        <v>420</v>
      </c>
      <c r="C94" s="2">
        <v>46052</v>
      </c>
      <c r="D94">
        <v>79170</v>
      </c>
      <c r="E94">
        <v>6333.6</v>
      </c>
      <c r="F94">
        <v>200</v>
      </c>
      <c r="G94">
        <v>85489.600000000006</v>
      </c>
      <c r="H94" s="1" t="s">
        <v>252</v>
      </c>
      <c r="I94">
        <v>85303.6</v>
      </c>
      <c r="J94" t="b">
        <v>1</v>
      </c>
      <c r="K94" t="str">
        <f>TEXT(clean_invoices[[#This Row],[Invoice_Date]],"yyyy-mm")</f>
        <v>2026-01</v>
      </c>
    </row>
    <row r="95" spans="1:11" x14ac:dyDescent="0.3">
      <c r="A95" s="1" t="s">
        <v>421</v>
      </c>
      <c r="B95" s="1" t="s">
        <v>422</v>
      </c>
      <c r="C95" s="2">
        <v>46005</v>
      </c>
      <c r="D95">
        <v>69788</v>
      </c>
      <c r="E95">
        <v>5583.04</v>
      </c>
      <c r="F95">
        <v>100</v>
      </c>
      <c r="G95">
        <v>75087.039999999994</v>
      </c>
      <c r="H95" s="1" t="s">
        <v>237</v>
      </c>
      <c r="I95">
        <v>75271.039999999994</v>
      </c>
      <c r="J95" t="b">
        <v>1</v>
      </c>
      <c r="K95" t="str">
        <f>TEXT(clean_invoices[[#This Row],[Invoice_Date]],"yyyy-mm")</f>
        <v>2025-12</v>
      </c>
    </row>
    <row r="96" spans="1:11" x14ac:dyDescent="0.3">
      <c r="A96" s="1" t="s">
        <v>423</v>
      </c>
      <c r="B96" s="1" t="s">
        <v>424</v>
      </c>
      <c r="C96" s="2">
        <v>46046</v>
      </c>
      <c r="D96">
        <v>5044</v>
      </c>
      <c r="E96">
        <v>403.52</v>
      </c>
      <c r="F96">
        <v>100</v>
      </c>
      <c r="G96">
        <v>5347.52</v>
      </c>
      <c r="H96" s="1" t="s">
        <v>237</v>
      </c>
      <c r="I96">
        <v>5347.52</v>
      </c>
      <c r="J96" t="b">
        <v>0</v>
      </c>
      <c r="K96" t="str">
        <f>TEXT(clean_invoices[[#This Row],[Invoice_Date]],"yyyy-mm")</f>
        <v>2026-01</v>
      </c>
    </row>
    <row r="97" spans="1:11" x14ac:dyDescent="0.3">
      <c r="A97" s="1" t="s">
        <v>425</v>
      </c>
      <c r="B97" s="1" t="s">
        <v>426</v>
      </c>
      <c r="C97" s="2">
        <v>45917</v>
      </c>
      <c r="D97">
        <v>70725</v>
      </c>
      <c r="E97">
        <v>5658</v>
      </c>
      <c r="F97">
        <v>50</v>
      </c>
      <c r="G97">
        <v>76333</v>
      </c>
      <c r="H97" s="1" t="s">
        <v>237</v>
      </c>
      <c r="I97">
        <v>76333</v>
      </c>
      <c r="J97" t="b">
        <v>0</v>
      </c>
      <c r="K97" t="str">
        <f>TEXT(clean_invoices[[#This Row],[Invoice_Date]],"yyyy-mm")</f>
        <v>2025-09</v>
      </c>
    </row>
    <row r="98" spans="1:11" x14ac:dyDescent="0.3">
      <c r="A98" s="1" t="s">
        <v>427</v>
      </c>
      <c r="B98" s="1" t="s">
        <v>428</v>
      </c>
      <c r="C98" s="2">
        <v>46175</v>
      </c>
      <c r="D98">
        <v>113365</v>
      </c>
      <c r="E98">
        <v>9069.2000000000007</v>
      </c>
      <c r="F98">
        <v>100</v>
      </c>
      <c r="G98">
        <v>122334.2</v>
      </c>
      <c r="H98" s="1" t="s">
        <v>252</v>
      </c>
      <c r="I98">
        <v>122334.2</v>
      </c>
      <c r="J98" t="b">
        <v>0</v>
      </c>
      <c r="K98" t="str">
        <f>TEXT(clean_invoices[[#This Row],[Invoice_Date]],"yyyy-mm")</f>
        <v>2026-06</v>
      </c>
    </row>
    <row r="99" spans="1:11" x14ac:dyDescent="0.3">
      <c r="A99" s="1" t="s">
        <v>429</v>
      </c>
      <c r="B99" s="1" t="s">
        <v>430</v>
      </c>
      <c r="C99" s="2">
        <v>46187</v>
      </c>
      <c r="D99">
        <v>68886</v>
      </c>
      <c r="E99">
        <v>5510.88</v>
      </c>
      <c r="F99">
        <v>200</v>
      </c>
      <c r="G99">
        <v>74196.88</v>
      </c>
      <c r="H99" s="1" t="s">
        <v>237</v>
      </c>
      <c r="I99">
        <v>74196.88</v>
      </c>
      <c r="J99" t="b">
        <v>0</v>
      </c>
      <c r="K99" t="str">
        <f>TEXT(clean_invoices[[#This Row],[Invoice_Date]],"yyyy-mm")</f>
        <v>2026-06</v>
      </c>
    </row>
    <row r="100" spans="1:11" x14ac:dyDescent="0.3">
      <c r="A100" s="1" t="s">
        <v>431</v>
      </c>
      <c r="B100" s="1" t="s">
        <v>432</v>
      </c>
      <c r="C100" s="2">
        <v>45883</v>
      </c>
      <c r="D100">
        <v>66120</v>
      </c>
      <c r="E100">
        <v>5289.6</v>
      </c>
      <c r="F100">
        <v>100</v>
      </c>
      <c r="G100">
        <v>71309.600000000006</v>
      </c>
      <c r="H100" s="1" t="s">
        <v>237</v>
      </c>
      <c r="I100">
        <v>71309.600000000006</v>
      </c>
      <c r="J100" t="b">
        <v>0</v>
      </c>
      <c r="K100" t="str">
        <f>TEXT(clean_invoices[[#This Row],[Invoice_Date]],"yyyy-mm")</f>
        <v>2025-08</v>
      </c>
    </row>
    <row r="101" spans="1:11" x14ac:dyDescent="0.3">
      <c r="A101" s="1" t="s">
        <v>433</v>
      </c>
      <c r="B101" s="1" t="s">
        <v>434</v>
      </c>
      <c r="C101" s="2">
        <v>46117</v>
      </c>
      <c r="D101">
        <v>103828</v>
      </c>
      <c r="E101">
        <v>8306.24</v>
      </c>
      <c r="F101">
        <v>200</v>
      </c>
      <c r="G101">
        <v>111934.24</v>
      </c>
      <c r="H101" s="1" t="s">
        <v>237</v>
      </c>
      <c r="I101">
        <v>111934.24</v>
      </c>
      <c r="J101" t="b">
        <v>0</v>
      </c>
      <c r="K101" t="str">
        <f>TEXT(clean_invoices[[#This Row],[Invoice_Date]],"yyyy-mm")</f>
        <v>2026-04</v>
      </c>
    </row>
    <row r="102" spans="1:11" x14ac:dyDescent="0.3">
      <c r="A102" s="1" t="s">
        <v>435</v>
      </c>
      <c r="B102" s="1" t="s">
        <v>436</v>
      </c>
      <c r="C102" s="2">
        <v>46172</v>
      </c>
      <c r="D102">
        <v>84630</v>
      </c>
      <c r="E102">
        <v>6770.4</v>
      </c>
      <c r="F102">
        <v>200</v>
      </c>
      <c r="G102">
        <v>91200.4</v>
      </c>
      <c r="H102" s="1" t="s">
        <v>252</v>
      </c>
      <c r="I102">
        <v>91200.4</v>
      </c>
      <c r="J102" t="b">
        <v>0</v>
      </c>
      <c r="K102" t="str">
        <f>TEXT(clean_invoices[[#This Row],[Invoice_Date]],"yyyy-mm")</f>
        <v>2026-05</v>
      </c>
    </row>
    <row r="103" spans="1:11" x14ac:dyDescent="0.3">
      <c r="A103" s="1" t="s">
        <v>437</v>
      </c>
      <c r="B103" s="1" t="s">
        <v>438</v>
      </c>
      <c r="C103" s="2">
        <v>46181</v>
      </c>
      <c r="D103">
        <v>65056</v>
      </c>
      <c r="E103">
        <v>5204.4799999999996</v>
      </c>
      <c r="F103">
        <v>150</v>
      </c>
      <c r="G103">
        <v>69983.48</v>
      </c>
      <c r="H103" s="1" t="s">
        <v>234</v>
      </c>
      <c r="I103">
        <v>70110.48</v>
      </c>
      <c r="J103" t="b">
        <v>1</v>
      </c>
      <c r="K103" t="str">
        <f>TEXT(clean_invoices[[#This Row],[Invoice_Date]],"yyyy-mm")</f>
        <v>2026-06</v>
      </c>
    </row>
    <row r="104" spans="1:11" x14ac:dyDescent="0.3">
      <c r="A104" s="1" t="s">
        <v>439</v>
      </c>
      <c r="B104" s="1" t="s">
        <v>440</v>
      </c>
      <c r="C104" s="2">
        <v>45915</v>
      </c>
      <c r="D104">
        <v>75670</v>
      </c>
      <c r="E104">
        <v>6053.6</v>
      </c>
      <c r="F104">
        <v>200</v>
      </c>
      <c r="G104">
        <v>81523.600000000006</v>
      </c>
      <c r="H104" s="1" t="s">
        <v>237</v>
      </c>
      <c r="I104">
        <v>81523.600000000006</v>
      </c>
      <c r="J104" t="b">
        <v>0</v>
      </c>
      <c r="K104" t="str">
        <f>TEXT(clean_invoices[[#This Row],[Invoice_Date]],"yyyy-mm")</f>
        <v>2025-09</v>
      </c>
    </row>
    <row r="105" spans="1:11" x14ac:dyDescent="0.3">
      <c r="A105" s="1" t="s">
        <v>441</v>
      </c>
      <c r="B105" s="1" t="s">
        <v>442</v>
      </c>
      <c r="C105" s="2">
        <v>46151</v>
      </c>
      <c r="D105">
        <v>9009</v>
      </c>
      <c r="E105">
        <v>720.72</v>
      </c>
      <c r="F105">
        <v>200</v>
      </c>
      <c r="G105">
        <v>9529.7199999999993</v>
      </c>
      <c r="H105" s="1" t="s">
        <v>237</v>
      </c>
      <c r="I105">
        <v>9529.7199999999993</v>
      </c>
      <c r="J105" t="b">
        <v>0</v>
      </c>
      <c r="K105" t="str">
        <f>TEXT(clean_invoices[[#This Row],[Invoice_Date]],"yyyy-mm")</f>
        <v>2026-05</v>
      </c>
    </row>
    <row r="106" spans="1:11" x14ac:dyDescent="0.3">
      <c r="A106" s="1" t="s">
        <v>443</v>
      </c>
      <c r="B106" s="1" t="s">
        <v>444</v>
      </c>
      <c r="C106" s="2">
        <v>45852</v>
      </c>
      <c r="D106">
        <v>53339</v>
      </c>
      <c r="E106">
        <v>4267.12</v>
      </c>
      <c r="F106">
        <v>100</v>
      </c>
      <c r="G106">
        <v>57506.12</v>
      </c>
      <c r="H106" s="1" t="s">
        <v>234</v>
      </c>
      <c r="I106">
        <v>57506.12</v>
      </c>
      <c r="J106" t="b">
        <v>0</v>
      </c>
      <c r="K106" t="str">
        <f>TEXT(clean_invoices[[#This Row],[Invoice_Date]],"yyyy-mm")</f>
        <v>2025-07</v>
      </c>
    </row>
    <row r="107" spans="1:11" x14ac:dyDescent="0.3">
      <c r="A107" s="1" t="s">
        <v>445</v>
      </c>
      <c r="B107" s="1" t="s">
        <v>446</v>
      </c>
      <c r="C107" s="2">
        <v>46067</v>
      </c>
      <c r="D107">
        <v>11390</v>
      </c>
      <c r="E107">
        <v>911.2</v>
      </c>
      <c r="F107">
        <v>150</v>
      </c>
      <c r="G107">
        <v>12151.2</v>
      </c>
      <c r="H107" s="1" t="s">
        <v>252</v>
      </c>
      <c r="I107">
        <v>12151.2</v>
      </c>
      <c r="J107" t="b">
        <v>0</v>
      </c>
      <c r="K107" t="str">
        <f>TEXT(clean_invoices[[#This Row],[Invoice_Date]],"yyyy-mm")</f>
        <v>2026-02</v>
      </c>
    </row>
    <row r="108" spans="1:11" x14ac:dyDescent="0.3">
      <c r="A108" s="1" t="s">
        <v>447</v>
      </c>
      <c r="B108" s="1" t="s">
        <v>448</v>
      </c>
      <c r="C108" s="2">
        <v>45969</v>
      </c>
      <c r="D108">
        <v>63184</v>
      </c>
      <c r="E108">
        <v>5054.72</v>
      </c>
      <c r="F108">
        <v>200</v>
      </c>
      <c r="G108">
        <v>68038.720000000001</v>
      </c>
      <c r="H108" s="1" t="s">
        <v>237</v>
      </c>
      <c r="I108">
        <v>68038.720000000001</v>
      </c>
      <c r="J108" t="b">
        <v>0</v>
      </c>
      <c r="K108" t="str">
        <f>TEXT(clean_invoices[[#This Row],[Invoice_Date]],"yyyy-mm")</f>
        <v>2025-11</v>
      </c>
    </row>
    <row r="109" spans="1:11" x14ac:dyDescent="0.3">
      <c r="A109" s="1" t="s">
        <v>449</v>
      </c>
      <c r="B109" s="1" t="s">
        <v>450</v>
      </c>
      <c r="C109" s="2">
        <v>46175</v>
      </c>
      <c r="D109">
        <v>46452</v>
      </c>
      <c r="E109">
        <v>3716.16</v>
      </c>
      <c r="F109">
        <v>200</v>
      </c>
      <c r="G109">
        <v>49724.160000000003</v>
      </c>
      <c r="H109" s="1" t="s">
        <v>252</v>
      </c>
      <c r="I109">
        <v>49968.160000000003</v>
      </c>
      <c r="J109" t="b">
        <v>1</v>
      </c>
      <c r="K109" t="str">
        <f>TEXT(clean_invoices[[#This Row],[Invoice_Date]],"yyyy-mm")</f>
        <v>2026-06</v>
      </c>
    </row>
    <row r="110" spans="1:11" x14ac:dyDescent="0.3">
      <c r="A110" s="1" t="s">
        <v>451</v>
      </c>
      <c r="B110" s="1" t="s">
        <v>452</v>
      </c>
      <c r="C110" s="2">
        <v>45907</v>
      </c>
      <c r="D110">
        <v>39816</v>
      </c>
      <c r="E110">
        <v>3185.28</v>
      </c>
      <c r="F110">
        <v>150</v>
      </c>
      <c r="G110">
        <v>42851.28</v>
      </c>
      <c r="H110" s="1" t="s">
        <v>237</v>
      </c>
      <c r="I110">
        <v>42851.28</v>
      </c>
      <c r="J110" t="b">
        <v>0</v>
      </c>
      <c r="K110" t="str">
        <f>TEXT(clean_invoices[[#This Row],[Invoice_Date]],"yyyy-mm")</f>
        <v>2025-09</v>
      </c>
    </row>
    <row r="111" spans="1:11" x14ac:dyDescent="0.3">
      <c r="A111" s="1" t="s">
        <v>453</v>
      </c>
      <c r="B111" s="1" t="s">
        <v>454</v>
      </c>
      <c r="C111" s="2">
        <v>46027</v>
      </c>
      <c r="D111">
        <v>45902</v>
      </c>
      <c r="E111">
        <v>3672.16</v>
      </c>
      <c r="F111">
        <v>200</v>
      </c>
      <c r="G111">
        <v>49374.16</v>
      </c>
      <c r="H111" s="1" t="s">
        <v>237</v>
      </c>
      <c r="I111">
        <v>49374.16</v>
      </c>
      <c r="J111" t="b">
        <v>0</v>
      </c>
      <c r="K111" t="str">
        <f>TEXT(clean_invoices[[#This Row],[Invoice_Date]],"yyyy-mm")</f>
        <v>2026-01</v>
      </c>
    </row>
    <row r="112" spans="1:11" x14ac:dyDescent="0.3">
      <c r="A112" s="1" t="s">
        <v>455</v>
      </c>
      <c r="B112" s="1" t="s">
        <v>456</v>
      </c>
      <c r="C112" s="2">
        <v>46081</v>
      </c>
      <c r="D112">
        <v>152930</v>
      </c>
      <c r="E112">
        <v>12234.4</v>
      </c>
      <c r="F112">
        <v>50</v>
      </c>
      <c r="G112">
        <v>165114.4</v>
      </c>
      <c r="H112" s="1" t="s">
        <v>237</v>
      </c>
      <c r="I112">
        <v>165114.4</v>
      </c>
      <c r="J112" t="b">
        <v>0</v>
      </c>
      <c r="K112" t="str">
        <f>TEXT(clean_invoices[[#This Row],[Invoice_Date]],"yyyy-mm")</f>
        <v>2026-02</v>
      </c>
    </row>
    <row r="113" spans="1:11" x14ac:dyDescent="0.3">
      <c r="A113" s="1" t="s">
        <v>457</v>
      </c>
      <c r="B113" s="1" t="s">
        <v>458</v>
      </c>
      <c r="C113" s="2">
        <v>46056</v>
      </c>
      <c r="D113">
        <v>42987</v>
      </c>
      <c r="E113">
        <v>3438.96</v>
      </c>
      <c r="F113">
        <v>150</v>
      </c>
      <c r="G113">
        <v>46707.96</v>
      </c>
      <c r="H113" s="1" t="s">
        <v>234</v>
      </c>
      <c r="I113">
        <v>46275.96</v>
      </c>
      <c r="J113" t="b">
        <v>1</v>
      </c>
      <c r="K113" t="str">
        <f>TEXT(clean_invoices[[#This Row],[Invoice_Date]],"yyyy-mm")</f>
        <v>2026-02</v>
      </c>
    </row>
    <row r="114" spans="1:11" x14ac:dyDescent="0.3">
      <c r="A114" s="1" t="s">
        <v>459</v>
      </c>
      <c r="B114" s="1" t="s">
        <v>460</v>
      </c>
      <c r="C114" s="2">
        <v>45843</v>
      </c>
      <c r="D114">
        <v>53074</v>
      </c>
      <c r="E114">
        <v>4245.92</v>
      </c>
      <c r="F114">
        <v>100</v>
      </c>
      <c r="G114">
        <v>57219.92</v>
      </c>
      <c r="H114" s="1" t="s">
        <v>237</v>
      </c>
      <c r="I114">
        <v>57219.92</v>
      </c>
      <c r="J114" t="b">
        <v>0</v>
      </c>
      <c r="K114" t="str">
        <f>TEXT(clean_invoices[[#This Row],[Invoice_Date]],"yyyy-mm")</f>
        <v>2025-07</v>
      </c>
    </row>
    <row r="115" spans="1:11" x14ac:dyDescent="0.3">
      <c r="A115" s="1" t="s">
        <v>461</v>
      </c>
      <c r="B115" s="1" t="s">
        <v>462</v>
      </c>
      <c r="C115" s="2">
        <v>45865</v>
      </c>
      <c r="D115">
        <v>4698</v>
      </c>
      <c r="E115">
        <v>375.84</v>
      </c>
      <c r="F115">
        <v>150</v>
      </c>
      <c r="G115">
        <v>4923.84</v>
      </c>
      <c r="H115" s="1" t="s">
        <v>234</v>
      </c>
      <c r="I115">
        <v>4923.84</v>
      </c>
      <c r="J115" t="b">
        <v>0</v>
      </c>
      <c r="K115" t="str">
        <f>TEXT(clean_invoices[[#This Row],[Invoice_Date]],"yyyy-mm")</f>
        <v>2025-07</v>
      </c>
    </row>
    <row r="116" spans="1:11" x14ac:dyDescent="0.3">
      <c r="A116" s="1" t="s">
        <v>463</v>
      </c>
      <c r="B116" s="1" t="s">
        <v>464</v>
      </c>
      <c r="C116" s="2">
        <v>46142</v>
      </c>
      <c r="D116">
        <v>14241</v>
      </c>
      <c r="E116">
        <v>1139.28</v>
      </c>
      <c r="F116">
        <v>0</v>
      </c>
      <c r="G116">
        <v>15380.28</v>
      </c>
      <c r="H116" s="1" t="s">
        <v>234</v>
      </c>
      <c r="I116">
        <v>15380.28</v>
      </c>
      <c r="J116" t="b">
        <v>0</v>
      </c>
      <c r="K116" t="str">
        <f>TEXT(clean_invoices[[#This Row],[Invoice_Date]],"yyyy-mm")</f>
        <v>2026-04</v>
      </c>
    </row>
    <row r="117" spans="1:11" x14ac:dyDescent="0.3">
      <c r="A117" s="1" t="s">
        <v>465</v>
      </c>
      <c r="B117" s="1" t="s">
        <v>466</v>
      </c>
      <c r="C117" s="2">
        <v>46078</v>
      </c>
      <c r="D117">
        <v>19512</v>
      </c>
      <c r="E117">
        <v>1560.96</v>
      </c>
      <c r="F117">
        <v>0</v>
      </c>
      <c r="G117">
        <v>21072.959999999999</v>
      </c>
      <c r="H117" s="1" t="s">
        <v>237</v>
      </c>
      <c r="I117">
        <v>21072.959999999999</v>
      </c>
      <c r="J117" t="b">
        <v>0</v>
      </c>
      <c r="K117" t="str">
        <f>TEXT(clean_invoices[[#This Row],[Invoice_Date]],"yyyy-mm")</f>
        <v>2026-02</v>
      </c>
    </row>
    <row r="118" spans="1:11" x14ac:dyDescent="0.3">
      <c r="A118" s="1" t="s">
        <v>467</v>
      </c>
      <c r="B118" s="1" t="s">
        <v>468</v>
      </c>
      <c r="C118" s="2">
        <v>45868</v>
      </c>
      <c r="D118">
        <v>64925</v>
      </c>
      <c r="E118">
        <v>5194</v>
      </c>
      <c r="F118">
        <v>50</v>
      </c>
      <c r="G118">
        <v>70508</v>
      </c>
      <c r="H118" s="1" t="s">
        <v>252</v>
      </c>
      <c r="I118">
        <v>70069</v>
      </c>
      <c r="J118" t="b">
        <v>1</v>
      </c>
      <c r="K118" t="str">
        <f>TEXT(clean_invoices[[#This Row],[Invoice_Date]],"yyyy-mm")</f>
        <v>2025-07</v>
      </c>
    </row>
    <row r="119" spans="1:11" x14ac:dyDescent="0.3">
      <c r="A119" s="1" t="s">
        <v>469</v>
      </c>
      <c r="B119" s="1" t="s">
        <v>470</v>
      </c>
      <c r="C119" s="2">
        <v>46167</v>
      </c>
      <c r="D119">
        <v>121704</v>
      </c>
      <c r="E119">
        <v>9736.32</v>
      </c>
      <c r="F119">
        <v>50</v>
      </c>
      <c r="G119">
        <v>131390.32</v>
      </c>
      <c r="H119" s="1" t="s">
        <v>234</v>
      </c>
      <c r="I119">
        <v>131390.32</v>
      </c>
      <c r="J119" t="b">
        <v>0</v>
      </c>
      <c r="K119" t="str">
        <f>TEXT(clean_invoices[[#This Row],[Invoice_Date]],"yyyy-mm")</f>
        <v>2026-05</v>
      </c>
    </row>
    <row r="120" spans="1:11" x14ac:dyDescent="0.3">
      <c r="A120" s="1" t="s">
        <v>471</v>
      </c>
      <c r="B120" s="1" t="s">
        <v>472</v>
      </c>
      <c r="C120" s="2">
        <v>45851</v>
      </c>
      <c r="D120">
        <v>17955</v>
      </c>
      <c r="E120">
        <v>1436.4</v>
      </c>
      <c r="F120">
        <v>200</v>
      </c>
      <c r="G120">
        <v>18772.400000000001</v>
      </c>
      <c r="H120" s="1" t="s">
        <v>234</v>
      </c>
      <c r="I120">
        <v>19191.400000000001</v>
      </c>
      <c r="J120" t="b">
        <v>1</v>
      </c>
      <c r="K120" t="str">
        <f>TEXT(clean_invoices[[#This Row],[Invoice_Date]],"yyyy-mm")</f>
        <v>2025-07</v>
      </c>
    </row>
    <row r="121" spans="1:11" x14ac:dyDescent="0.3">
      <c r="A121" s="1" t="s">
        <v>473</v>
      </c>
      <c r="B121" s="1" t="s">
        <v>474</v>
      </c>
      <c r="C121" s="2">
        <v>46132</v>
      </c>
      <c r="D121">
        <v>11025</v>
      </c>
      <c r="E121">
        <v>882</v>
      </c>
      <c r="F121">
        <v>50</v>
      </c>
      <c r="G121">
        <v>11857</v>
      </c>
      <c r="H121" s="1" t="s">
        <v>252</v>
      </c>
      <c r="I121">
        <v>11857</v>
      </c>
      <c r="J121" t="b">
        <v>0</v>
      </c>
      <c r="K121" t="str">
        <f>TEXT(clean_invoices[[#This Row],[Invoice_Date]],"yyyy-mm")</f>
        <v>2026-04</v>
      </c>
    </row>
    <row r="122" spans="1:11" x14ac:dyDescent="0.3">
      <c r="A122" s="1" t="s">
        <v>475</v>
      </c>
      <c r="B122" s="1" t="s">
        <v>476</v>
      </c>
      <c r="C122" s="2">
        <v>45959</v>
      </c>
      <c r="D122">
        <v>76890</v>
      </c>
      <c r="E122">
        <v>6151.2</v>
      </c>
      <c r="F122">
        <v>200</v>
      </c>
      <c r="G122">
        <v>82841.2</v>
      </c>
      <c r="H122" s="1" t="s">
        <v>234</v>
      </c>
      <c r="I122">
        <v>82841.2</v>
      </c>
      <c r="J122" t="b">
        <v>0</v>
      </c>
      <c r="K122" t="str">
        <f>TEXT(clean_invoices[[#This Row],[Invoice_Date]],"yyyy-mm")</f>
        <v>2025-10</v>
      </c>
    </row>
    <row r="123" spans="1:11" x14ac:dyDescent="0.3">
      <c r="A123" s="1" t="s">
        <v>477</v>
      </c>
      <c r="B123" s="1" t="s">
        <v>478</v>
      </c>
      <c r="C123" s="2">
        <v>45936</v>
      </c>
      <c r="D123">
        <v>119310</v>
      </c>
      <c r="E123">
        <v>9544.7999999999993</v>
      </c>
      <c r="F123">
        <v>50</v>
      </c>
      <c r="G123">
        <v>128804.8</v>
      </c>
      <c r="H123" s="1" t="s">
        <v>237</v>
      </c>
      <c r="I123">
        <v>128804.8</v>
      </c>
      <c r="J123" t="b">
        <v>0</v>
      </c>
      <c r="K123" t="str">
        <f>TEXT(clean_invoices[[#This Row],[Invoice_Date]],"yyyy-mm")</f>
        <v>2025-10</v>
      </c>
    </row>
    <row r="124" spans="1:11" x14ac:dyDescent="0.3">
      <c r="A124" s="1" t="s">
        <v>479</v>
      </c>
      <c r="B124" s="1" t="s">
        <v>480</v>
      </c>
      <c r="C124" s="2">
        <v>45876</v>
      </c>
      <c r="D124">
        <v>104807</v>
      </c>
      <c r="E124">
        <v>8384.56</v>
      </c>
      <c r="F124">
        <v>150</v>
      </c>
      <c r="G124">
        <v>113041.56</v>
      </c>
      <c r="H124" s="1" t="s">
        <v>234</v>
      </c>
      <c r="I124">
        <v>113041.56</v>
      </c>
      <c r="J124" t="b">
        <v>0</v>
      </c>
      <c r="K124" t="str">
        <f>TEXT(clean_invoices[[#This Row],[Invoice_Date]],"yyyy-mm")</f>
        <v>2025-08</v>
      </c>
    </row>
    <row r="125" spans="1:11" x14ac:dyDescent="0.3">
      <c r="A125" s="1" t="s">
        <v>481</v>
      </c>
      <c r="B125" s="1" t="s">
        <v>482</v>
      </c>
      <c r="C125" s="2">
        <v>46175</v>
      </c>
      <c r="D125">
        <v>51660</v>
      </c>
      <c r="E125">
        <v>4132.8</v>
      </c>
      <c r="F125">
        <v>0</v>
      </c>
      <c r="G125">
        <v>56218.8</v>
      </c>
      <c r="H125" s="1" t="s">
        <v>252</v>
      </c>
      <c r="I125">
        <v>55792.800000000003</v>
      </c>
      <c r="J125" t="b">
        <v>1</v>
      </c>
      <c r="K125" t="str">
        <f>TEXT(clean_invoices[[#This Row],[Invoice_Date]],"yyyy-mm")</f>
        <v>2026-06</v>
      </c>
    </row>
    <row r="126" spans="1:11" x14ac:dyDescent="0.3">
      <c r="A126" s="1" t="s">
        <v>483</v>
      </c>
      <c r="B126" s="1" t="s">
        <v>484</v>
      </c>
      <c r="C126" s="2">
        <v>46130</v>
      </c>
      <c r="D126">
        <v>14200</v>
      </c>
      <c r="E126">
        <v>1136</v>
      </c>
      <c r="F126">
        <v>200</v>
      </c>
      <c r="G126">
        <v>15163</v>
      </c>
      <c r="H126" s="1" t="s">
        <v>237</v>
      </c>
      <c r="I126">
        <v>15136</v>
      </c>
      <c r="J126" t="b">
        <v>1</v>
      </c>
      <c r="K126" t="str">
        <f>TEXT(clean_invoices[[#This Row],[Invoice_Date]],"yyyy-mm")</f>
        <v>2026-04</v>
      </c>
    </row>
    <row r="127" spans="1:11" x14ac:dyDescent="0.3">
      <c r="A127" s="1" t="s">
        <v>485</v>
      </c>
      <c r="B127" s="1" t="s">
        <v>486</v>
      </c>
      <c r="C127" s="2">
        <v>45914</v>
      </c>
      <c r="D127">
        <v>4809</v>
      </c>
      <c r="E127">
        <v>384.72</v>
      </c>
      <c r="F127">
        <v>50</v>
      </c>
      <c r="G127">
        <v>5143.72</v>
      </c>
      <c r="H127" s="1" t="s">
        <v>252</v>
      </c>
      <c r="I127">
        <v>5143.72</v>
      </c>
      <c r="J127" t="b">
        <v>0</v>
      </c>
      <c r="K127" t="str">
        <f>TEXT(clean_invoices[[#This Row],[Invoice_Date]],"yyyy-mm")</f>
        <v>2025-09</v>
      </c>
    </row>
    <row r="128" spans="1:11" x14ac:dyDescent="0.3">
      <c r="A128" s="1" t="s">
        <v>487</v>
      </c>
      <c r="B128" s="1" t="s">
        <v>488</v>
      </c>
      <c r="C128" s="2">
        <v>45868</v>
      </c>
      <c r="D128">
        <v>4968</v>
      </c>
      <c r="E128">
        <v>397.44</v>
      </c>
      <c r="F128">
        <v>100</v>
      </c>
      <c r="G128">
        <v>5265.44</v>
      </c>
      <c r="H128" s="1" t="s">
        <v>237</v>
      </c>
      <c r="I128">
        <v>5265.44</v>
      </c>
      <c r="J128" t="b">
        <v>0</v>
      </c>
      <c r="K128" t="str">
        <f>TEXT(clean_invoices[[#This Row],[Invoice_Date]],"yyyy-mm")</f>
        <v>2025-07</v>
      </c>
    </row>
    <row r="129" spans="1:11" x14ac:dyDescent="0.3">
      <c r="A129" s="1" t="s">
        <v>489</v>
      </c>
      <c r="B129" s="1" t="s">
        <v>490</v>
      </c>
      <c r="C129" s="2">
        <v>46144</v>
      </c>
      <c r="D129">
        <v>20776</v>
      </c>
      <c r="E129">
        <v>1662.08</v>
      </c>
      <c r="F129">
        <v>0</v>
      </c>
      <c r="G129">
        <v>22438.080000000002</v>
      </c>
      <c r="H129" s="1" t="s">
        <v>237</v>
      </c>
      <c r="I129">
        <v>22438.080000000002</v>
      </c>
      <c r="J129" t="b">
        <v>0</v>
      </c>
      <c r="K129" t="str">
        <f>TEXT(clean_invoices[[#This Row],[Invoice_Date]],"yyyy-mm")</f>
        <v>2026-05</v>
      </c>
    </row>
    <row r="130" spans="1:11" x14ac:dyDescent="0.3">
      <c r="A130" s="1" t="s">
        <v>491</v>
      </c>
      <c r="B130" s="1" t="s">
        <v>492</v>
      </c>
      <c r="C130" s="2">
        <v>45988</v>
      </c>
      <c r="D130">
        <v>154298</v>
      </c>
      <c r="E130">
        <v>12343.84</v>
      </c>
      <c r="F130">
        <v>200</v>
      </c>
      <c r="G130">
        <v>166441.84</v>
      </c>
      <c r="H130" s="1" t="s">
        <v>252</v>
      </c>
      <c r="I130">
        <v>166441.84</v>
      </c>
      <c r="J130" t="b">
        <v>0</v>
      </c>
      <c r="K130" t="str">
        <f>TEXT(clean_invoices[[#This Row],[Invoice_Date]],"yyyy-mm")</f>
        <v>2025-11</v>
      </c>
    </row>
    <row r="131" spans="1:11" x14ac:dyDescent="0.3">
      <c r="A131" s="1" t="s">
        <v>493</v>
      </c>
      <c r="B131" s="1" t="s">
        <v>494</v>
      </c>
      <c r="C131" s="2">
        <v>46148</v>
      </c>
      <c r="D131">
        <v>47385</v>
      </c>
      <c r="E131">
        <v>3790.8</v>
      </c>
      <c r="F131">
        <v>0</v>
      </c>
      <c r="G131">
        <v>51175.8</v>
      </c>
      <c r="H131" s="1" t="s">
        <v>237</v>
      </c>
      <c r="I131">
        <v>51175.8</v>
      </c>
      <c r="J131" t="b">
        <v>0</v>
      </c>
      <c r="K131" t="str">
        <f>TEXT(clean_invoices[[#This Row],[Invoice_Date]],"yyyy-mm")</f>
        <v>2026-05</v>
      </c>
    </row>
    <row r="132" spans="1:11" x14ac:dyDescent="0.3">
      <c r="A132" s="1" t="s">
        <v>495</v>
      </c>
      <c r="B132" s="1" t="s">
        <v>496</v>
      </c>
      <c r="C132" s="2">
        <v>45894</v>
      </c>
      <c r="D132">
        <v>5200</v>
      </c>
      <c r="E132">
        <v>416</v>
      </c>
      <c r="F132">
        <v>150</v>
      </c>
      <c r="G132">
        <v>5466</v>
      </c>
      <c r="H132" s="1" t="s">
        <v>252</v>
      </c>
      <c r="I132">
        <v>5466</v>
      </c>
      <c r="J132" t="b">
        <v>0</v>
      </c>
      <c r="K132" t="str">
        <f>TEXT(clean_invoices[[#This Row],[Invoice_Date]],"yyyy-mm")</f>
        <v>2025-08</v>
      </c>
    </row>
    <row r="133" spans="1:11" x14ac:dyDescent="0.3">
      <c r="A133" s="1" t="s">
        <v>497</v>
      </c>
      <c r="B133" s="1" t="s">
        <v>498</v>
      </c>
      <c r="C133" s="2">
        <v>45951</v>
      </c>
      <c r="D133">
        <v>81997</v>
      </c>
      <c r="E133">
        <v>6559.76</v>
      </c>
      <c r="F133">
        <v>0</v>
      </c>
      <c r="G133">
        <v>88556.76</v>
      </c>
      <c r="H133" s="1" t="s">
        <v>234</v>
      </c>
      <c r="I133">
        <v>88556.76</v>
      </c>
      <c r="J133" t="b">
        <v>0</v>
      </c>
      <c r="K133" t="str">
        <f>TEXT(clean_invoices[[#This Row],[Invoice_Date]],"yyyy-mm")</f>
        <v>2025-10</v>
      </c>
    </row>
    <row r="134" spans="1:11" x14ac:dyDescent="0.3">
      <c r="A134" s="1" t="s">
        <v>499</v>
      </c>
      <c r="B134" s="1" t="s">
        <v>500</v>
      </c>
      <c r="C134" s="2">
        <v>46171</v>
      </c>
      <c r="D134">
        <v>66150</v>
      </c>
      <c r="E134">
        <v>5292</v>
      </c>
      <c r="F134">
        <v>50</v>
      </c>
      <c r="G134">
        <v>71392</v>
      </c>
      <c r="H134" s="1" t="s">
        <v>252</v>
      </c>
      <c r="I134">
        <v>71392</v>
      </c>
      <c r="J134" t="b">
        <v>0</v>
      </c>
      <c r="K134" t="str">
        <f>TEXT(clean_invoices[[#This Row],[Invoice_Date]],"yyyy-mm")</f>
        <v>2026-05</v>
      </c>
    </row>
    <row r="135" spans="1:11" x14ac:dyDescent="0.3">
      <c r="A135" s="1" t="s">
        <v>501</v>
      </c>
      <c r="B135" s="1" t="s">
        <v>502</v>
      </c>
      <c r="C135" s="2">
        <v>45873</v>
      </c>
      <c r="D135">
        <v>66368</v>
      </c>
      <c r="E135">
        <v>5309.44</v>
      </c>
      <c r="F135">
        <v>100</v>
      </c>
      <c r="G135">
        <v>71437.440000000002</v>
      </c>
      <c r="H135" s="1" t="s">
        <v>234</v>
      </c>
      <c r="I135">
        <v>71577.440000000002</v>
      </c>
      <c r="J135" t="b">
        <v>1</v>
      </c>
      <c r="K135" t="str">
        <f>TEXT(clean_invoices[[#This Row],[Invoice_Date]],"yyyy-mm")</f>
        <v>2025-08</v>
      </c>
    </row>
    <row r="136" spans="1:11" x14ac:dyDescent="0.3">
      <c r="A136" s="1" t="s">
        <v>503</v>
      </c>
      <c r="B136" s="1" t="s">
        <v>504</v>
      </c>
      <c r="C136" s="2">
        <v>46028</v>
      </c>
      <c r="D136">
        <v>73260</v>
      </c>
      <c r="E136">
        <v>5860.8</v>
      </c>
      <c r="F136">
        <v>50</v>
      </c>
      <c r="G136">
        <v>79070.8</v>
      </c>
      <c r="H136" s="1" t="s">
        <v>252</v>
      </c>
      <c r="I136">
        <v>79070.8</v>
      </c>
      <c r="J136" t="b">
        <v>0</v>
      </c>
      <c r="K136" t="str">
        <f>TEXT(clean_invoices[[#This Row],[Invoice_Date]],"yyyy-mm")</f>
        <v>2026-01</v>
      </c>
    </row>
    <row r="137" spans="1:11" x14ac:dyDescent="0.3">
      <c r="A137" s="1" t="s">
        <v>505</v>
      </c>
      <c r="B137" s="1" t="s">
        <v>506</v>
      </c>
      <c r="C137" s="2">
        <v>46047</v>
      </c>
      <c r="D137">
        <v>163520</v>
      </c>
      <c r="E137">
        <v>13081.6</v>
      </c>
      <c r="F137">
        <v>150</v>
      </c>
      <c r="G137">
        <v>176451.6</v>
      </c>
      <c r="H137" s="1" t="s">
        <v>237</v>
      </c>
      <c r="I137">
        <v>176451.6</v>
      </c>
      <c r="J137" t="b">
        <v>0</v>
      </c>
      <c r="K137" t="str">
        <f>TEXT(clean_invoices[[#This Row],[Invoice_Date]],"yyyy-mm")</f>
        <v>2026-01</v>
      </c>
    </row>
    <row r="138" spans="1:11" x14ac:dyDescent="0.3">
      <c r="A138" s="1" t="s">
        <v>507</v>
      </c>
      <c r="B138" s="1" t="s">
        <v>508</v>
      </c>
      <c r="C138" s="2">
        <v>45859</v>
      </c>
      <c r="D138">
        <v>166870</v>
      </c>
      <c r="E138">
        <v>13349.6</v>
      </c>
      <c r="F138">
        <v>150</v>
      </c>
      <c r="G138">
        <v>179775.6</v>
      </c>
      <c r="H138" s="1" t="s">
        <v>237</v>
      </c>
      <c r="I138">
        <v>180069.6</v>
      </c>
      <c r="J138" t="b">
        <v>1</v>
      </c>
      <c r="K138" t="str">
        <f>TEXT(clean_invoices[[#This Row],[Invoice_Date]],"yyyy-mm")</f>
        <v>2025-07</v>
      </c>
    </row>
    <row r="139" spans="1:11" x14ac:dyDescent="0.3">
      <c r="A139" s="1" t="s">
        <v>509</v>
      </c>
      <c r="B139" s="1" t="s">
        <v>510</v>
      </c>
      <c r="C139" s="2">
        <v>46193</v>
      </c>
      <c r="D139">
        <v>120294</v>
      </c>
      <c r="E139">
        <v>9623.52</v>
      </c>
      <c r="F139">
        <v>0</v>
      </c>
      <c r="G139">
        <v>129917.52</v>
      </c>
      <c r="H139" s="1" t="s">
        <v>252</v>
      </c>
      <c r="I139">
        <v>129917.52</v>
      </c>
      <c r="J139" t="b">
        <v>0</v>
      </c>
      <c r="K139" t="str">
        <f>TEXT(clean_invoices[[#This Row],[Invoice_Date]],"yyyy-mm")</f>
        <v>2026-06</v>
      </c>
    </row>
    <row r="140" spans="1:11" x14ac:dyDescent="0.3">
      <c r="A140" s="1" t="s">
        <v>511</v>
      </c>
      <c r="B140" s="1" t="s">
        <v>512</v>
      </c>
      <c r="C140" s="2">
        <v>45969</v>
      </c>
      <c r="D140">
        <v>150420</v>
      </c>
      <c r="E140">
        <v>12033.6</v>
      </c>
      <c r="F140">
        <v>150</v>
      </c>
      <c r="G140">
        <v>162303.6</v>
      </c>
      <c r="H140" s="1" t="s">
        <v>234</v>
      </c>
      <c r="I140">
        <v>162303.6</v>
      </c>
      <c r="J140" t="b">
        <v>0</v>
      </c>
      <c r="K140" t="str">
        <f>TEXT(clean_invoices[[#This Row],[Invoice_Date]],"yyyy-mm")</f>
        <v>2025-11</v>
      </c>
    </row>
    <row r="141" spans="1:11" x14ac:dyDescent="0.3">
      <c r="A141" s="1" t="s">
        <v>513</v>
      </c>
      <c r="B141" s="1" t="s">
        <v>514</v>
      </c>
      <c r="C141" s="2">
        <v>46200</v>
      </c>
      <c r="D141">
        <v>43510</v>
      </c>
      <c r="E141">
        <v>3480.8</v>
      </c>
      <c r="F141">
        <v>100</v>
      </c>
      <c r="G141">
        <v>47052.800000000003</v>
      </c>
      <c r="H141" s="1" t="s">
        <v>234</v>
      </c>
      <c r="I141">
        <v>46890.8</v>
      </c>
      <c r="J141" t="b">
        <v>1</v>
      </c>
      <c r="K141" t="str">
        <f>TEXT(clean_invoices[[#This Row],[Invoice_Date]],"yyyy-mm")</f>
        <v>2026-06</v>
      </c>
    </row>
    <row r="142" spans="1:11" x14ac:dyDescent="0.3">
      <c r="A142" s="1" t="s">
        <v>515</v>
      </c>
      <c r="B142" s="1" t="s">
        <v>516</v>
      </c>
      <c r="C142" s="2">
        <v>46086</v>
      </c>
      <c r="D142">
        <v>86250</v>
      </c>
      <c r="E142">
        <v>6900</v>
      </c>
      <c r="F142">
        <v>100</v>
      </c>
      <c r="G142">
        <v>93050</v>
      </c>
      <c r="H142" s="1" t="s">
        <v>252</v>
      </c>
      <c r="I142">
        <v>93050</v>
      </c>
      <c r="J142" t="b">
        <v>0</v>
      </c>
      <c r="K142" t="str">
        <f>TEXT(clean_invoices[[#This Row],[Invoice_Date]],"yyyy-mm")</f>
        <v>2026-03</v>
      </c>
    </row>
    <row r="143" spans="1:11" x14ac:dyDescent="0.3">
      <c r="A143" s="1" t="s">
        <v>517</v>
      </c>
      <c r="B143" s="1" t="s">
        <v>518</v>
      </c>
      <c r="C143" s="2">
        <v>46028</v>
      </c>
      <c r="D143">
        <v>178324</v>
      </c>
      <c r="E143">
        <v>14265.92</v>
      </c>
      <c r="F143">
        <v>100</v>
      </c>
      <c r="G143">
        <v>192489.92</v>
      </c>
      <c r="H143" s="1" t="s">
        <v>234</v>
      </c>
      <c r="I143">
        <v>192489.92</v>
      </c>
      <c r="J143" t="b">
        <v>0</v>
      </c>
      <c r="K143" t="str">
        <f>TEXT(clean_invoices[[#This Row],[Invoice_Date]],"yyyy-mm")</f>
        <v>2026-01</v>
      </c>
    </row>
    <row r="144" spans="1:11" x14ac:dyDescent="0.3">
      <c r="A144" s="1" t="s">
        <v>519</v>
      </c>
      <c r="B144" s="1" t="s">
        <v>520</v>
      </c>
      <c r="C144" s="2">
        <v>46201</v>
      </c>
      <c r="D144">
        <v>26969</v>
      </c>
      <c r="E144">
        <v>2157.52</v>
      </c>
      <c r="F144">
        <v>150</v>
      </c>
      <c r="G144">
        <v>28976.52</v>
      </c>
      <c r="H144" s="1" t="s">
        <v>234</v>
      </c>
      <c r="I144">
        <v>28976.52</v>
      </c>
      <c r="J144" t="b">
        <v>0</v>
      </c>
      <c r="K144" t="str">
        <f>TEXT(clean_invoices[[#This Row],[Invoice_Date]],"yyyy-mm")</f>
        <v>2026-06</v>
      </c>
    </row>
    <row r="145" spans="1:11" x14ac:dyDescent="0.3">
      <c r="A145" s="1" t="s">
        <v>521</v>
      </c>
      <c r="B145" s="1" t="s">
        <v>522</v>
      </c>
      <c r="C145" s="2">
        <v>46202</v>
      </c>
      <c r="D145">
        <v>8840</v>
      </c>
      <c r="E145">
        <v>707.2</v>
      </c>
      <c r="F145">
        <v>50</v>
      </c>
      <c r="G145">
        <v>9497.2000000000007</v>
      </c>
      <c r="H145" s="1" t="s">
        <v>234</v>
      </c>
      <c r="I145">
        <v>9497.2000000000007</v>
      </c>
      <c r="J145" t="b">
        <v>0</v>
      </c>
      <c r="K145" t="str">
        <f>TEXT(clean_invoices[[#This Row],[Invoice_Date]],"yyyy-mm")</f>
        <v>2026-06</v>
      </c>
    </row>
    <row r="146" spans="1:11" x14ac:dyDescent="0.3">
      <c r="A146" s="1" t="s">
        <v>523</v>
      </c>
      <c r="B146" s="1" t="s">
        <v>524</v>
      </c>
      <c r="C146" s="2">
        <v>45990</v>
      </c>
      <c r="D146">
        <v>33060</v>
      </c>
      <c r="E146">
        <v>2644.8</v>
      </c>
      <c r="F146">
        <v>200</v>
      </c>
      <c r="G146">
        <v>35504.800000000003</v>
      </c>
      <c r="H146" s="1" t="s">
        <v>252</v>
      </c>
      <c r="I146">
        <v>35504.800000000003</v>
      </c>
      <c r="J146" t="b">
        <v>0</v>
      </c>
      <c r="K146" t="str">
        <f>TEXT(clean_invoices[[#This Row],[Invoice_Date]],"yyyy-mm")</f>
        <v>2025-11</v>
      </c>
    </row>
    <row r="147" spans="1:11" x14ac:dyDescent="0.3">
      <c r="A147" s="1" t="s">
        <v>525</v>
      </c>
      <c r="B147" s="1" t="s">
        <v>526</v>
      </c>
      <c r="C147" s="2">
        <v>45985</v>
      </c>
      <c r="D147">
        <v>100614</v>
      </c>
      <c r="E147">
        <v>8049.12</v>
      </c>
      <c r="F147">
        <v>150</v>
      </c>
      <c r="G147">
        <v>108629.12</v>
      </c>
      <c r="H147" s="1" t="s">
        <v>252</v>
      </c>
      <c r="I147">
        <v>108513.12</v>
      </c>
      <c r="J147" t="b">
        <v>1</v>
      </c>
      <c r="K147" t="str">
        <f>TEXT(clean_invoices[[#This Row],[Invoice_Date]],"yyyy-mm")</f>
        <v>2025-11</v>
      </c>
    </row>
    <row r="148" spans="1:11" x14ac:dyDescent="0.3">
      <c r="A148" s="1" t="s">
        <v>527</v>
      </c>
      <c r="B148" s="1" t="s">
        <v>528</v>
      </c>
      <c r="C148" s="2">
        <v>45844</v>
      </c>
      <c r="D148">
        <v>42978</v>
      </c>
      <c r="E148">
        <v>3438.24</v>
      </c>
      <c r="F148">
        <v>100</v>
      </c>
      <c r="G148">
        <v>46316.24</v>
      </c>
      <c r="H148" s="1" t="s">
        <v>234</v>
      </c>
      <c r="I148">
        <v>46316.24</v>
      </c>
      <c r="J148" t="b">
        <v>0</v>
      </c>
      <c r="K148" t="str">
        <f>TEXT(clean_invoices[[#This Row],[Invoice_Date]],"yyyy-mm")</f>
        <v>2025-07</v>
      </c>
    </row>
    <row r="149" spans="1:11" x14ac:dyDescent="0.3">
      <c r="A149" s="1" t="s">
        <v>529</v>
      </c>
      <c r="B149" s="1" t="s">
        <v>530</v>
      </c>
      <c r="C149" s="2">
        <v>46177</v>
      </c>
      <c r="D149">
        <v>2788</v>
      </c>
      <c r="E149">
        <v>223.04</v>
      </c>
      <c r="F149">
        <v>100</v>
      </c>
      <c r="G149">
        <v>2911.04</v>
      </c>
      <c r="H149" s="1" t="s">
        <v>252</v>
      </c>
      <c r="I149">
        <v>2911.04</v>
      </c>
      <c r="J149" t="b">
        <v>0</v>
      </c>
      <c r="K149" t="str">
        <f>TEXT(clean_invoices[[#This Row],[Invoice_Date]],"yyyy-mm")</f>
        <v>2026-06</v>
      </c>
    </row>
    <row r="150" spans="1:11" x14ac:dyDescent="0.3">
      <c r="A150" s="1" t="s">
        <v>531</v>
      </c>
      <c r="B150" s="1" t="s">
        <v>532</v>
      </c>
      <c r="C150" s="2">
        <v>46051</v>
      </c>
      <c r="D150">
        <v>8154</v>
      </c>
      <c r="E150">
        <v>652.32000000000005</v>
      </c>
      <c r="F150">
        <v>150</v>
      </c>
      <c r="G150">
        <v>8656.32</v>
      </c>
      <c r="H150" s="1" t="s">
        <v>234</v>
      </c>
      <c r="I150">
        <v>8656.32</v>
      </c>
      <c r="J150" t="b">
        <v>0</v>
      </c>
      <c r="K150" t="str">
        <f>TEXT(clean_invoices[[#This Row],[Invoice_Date]],"yyyy-mm")</f>
        <v>2026-01</v>
      </c>
    </row>
    <row r="151" spans="1:11" x14ac:dyDescent="0.3">
      <c r="A151" s="1" t="s">
        <v>533</v>
      </c>
      <c r="B151" s="1" t="s">
        <v>534</v>
      </c>
      <c r="C151" s="2">
        <v>46053</v>
      </c>
      <c r="D151">
        <v>20480</v>
      </c>
      <c r="E151">
        <v>1638.4</v>
      </c>
      <c r="F151">
        <v>150</v>
      </c>
      <c r="G151">
        <v>22358.400000000001</v>
      </c>
      <c r="H151" s="1" t="s">
        <v>252</v>
      </c>
      <c r="I151">
        <v>21968.400000000001</v>
      </c>
      <c r="J151" t="b">
        <v>1</v>
      </c>
      <c r="K151" t="str">
        <f>TEXT(clean_invoices[[#This Row],[Invoice_Date]],"yyyy-mm")</f>
        <v>2026-01</v>
      </c>
    </row>
    <row r="152" spans="1:11" x14ac:dyDescent="0.3">
      <c r="A152" s="1" t="s">
        <v>535</v>
      </c>
      <c r="B152" s="1" t="s">
        <v>536</v>
      </c>
      <c r="C152" s="2">
        <v>46033</v>
      </c>
      <c r="D152">
        <v>106680</v>
      </c>
      <c r="E152">
        <v>8534.4</v>
      </c>
      <c r="F152">
        <v>150</v>
      </c>
      <c r="G152">
        <v>115064.4</v>
      </c>
      <c r="H152" s="1" t="s">
        <v>237</v>
      </c>
      <c r="I152">
        <v>115064.4</v>
      </c>
      <c r="J152" t="b">
        <v>0</v>
      </c>
      <c r="K152" t="str">
        <f>TEXT(clean_invoices[[#This Row],[Invoice_Date]],"yyyy-mm")</f>
        <v>2026-01</v>
      </c>
    </row>
    <row r="153" spans="1:11" x14ac:dyDescent="0.3">
      <c r="A153" s="1" t="s">
        <v>537</v>
      </c>
      <c r="B153" s="1" t="s">
        <v>538</v>
      </c>
      <c r="C153" s="2">
        <v>45891</v>
      </c>
      <c r="D153">
        <v>36432</v>
      </c>
      <c r="E153">
        <v>2914.56</v>
      </c>
      <c r="F153">
        <v>150</v>
      </c>
      <c r="G153">
        <v>39196.559999999998</v>
      </c>
      <c r="H153" s="1" t="s">
        <v>237</v>
      </c>
      <c r="I153">
        <v>39196.559999999998</v>
      </c>
      <c r="J153" t="b">
        <v>0</v>
      </c>
      <c r="K153" t="str">
        <f>TEXT(clean_invoices[[#This Row],[Invoice_Date]],"yyyy-mm")</f>
        <v>2025-08</v>
      </c>
    </row>
    <row r="154" spans="1:11" x14ac:dyDescent="0.3">
      <c r="A154" s="1" t="s">
        <v>539</v>
      </c>
      <c r="B154" s="1" t="s">
        <v>540</v>
      </c>
      <c r="C154" s="2">
        <v>45893</v>
      </c>
      <c r="D154">
        <v>160066</v>
      </c>
      <c r="E154">
        <v>12805.28</v>
      </c>
      <c r="F154">
        <v>50</v>
      </c>
      <c r="G154">
        <v>172821.28</v>
      </c>
      <c r="H154" s="1" t="s">
        <v>237</v>
      </c>
      <c r="I154">
        <v>172821.28</v>
      </c>
      <c r="J154" t="b">
        <v>0</v>
      </c>
      <c r="K154" t="str">
        <f>TEXT(clean_invoices[[#This Row],[Invoice_Date]],"yyyy-mm")</f>
        <v>2025-08</v>
      </c>
    </row>
    <row r="155" spans="1:11" x14ac:dyDescent="0.3">
      <c r="A155" s="1" t="s">
        <v>541</v>
      </c>
      <c r="B155" s="1" t="s">
        <v>542</v>
      </c>
      <c r="C155" s="2">
        <v>46192</v>
      </c>
      <c r="D155">
        <v>175960</v>
      </c>
      <c r="E155">
        <v>14076.8</v>
      </c>
      <c r="F155">
        <v>50</v>
      </c>
      <c r="G155">
        <v>190283.8</v>
      </c>
      <c r="H155" s="1" t="s">
        <v>234</v>
      </c>
      <c r="I155">
        <v>189986.8</v>
      </c>
      <c r="J155" t="b">
        <v>1</v>
      </c>
      <c r="K155" t="str">
        <f>TEXT(clean_invoices[[#This Row],[Invoice_Date]],"yyyy-mm")</f>
        <v>2026-06</v>
      </c>
    </row>
    <row r="156" spans="1:11" x14ac:dyDescent="0.3">
      <c r="A156" s="1" t="s">
        <v>543</v>
      </c>
      <c r="B156" s="1" t="s">
        <v>544</v>
      </c>
      <c r="C156" s="2">
        <v>46030</v>
      </c>
      <c r="D156">
        <v>9240</v>
      </c>
      <c r="E156">
        <v>739.2</v>
      </c>
      <c r="F156">
        <v>150</v>
      </c>
      <c r="G156">
        <v>9829.2000000000007</v>
      </c>
      <c r="H156" s="1" t="s">
        <v>252</v>
      </c>
      <c r="I156">
        <v>9829.2000000000007</v>
      </c>
      <c r="J156" t="b">
        <v>0</v>
      </c>
      <c r="K156" t="str">
        <f>TEXT(clean_invoices[[#This Row],[Invoice_Date]],"yyyy-mm")</f>
        <v>2026-01</v>
      </c>
    </row>
    <row r="157" spans="1:11" x14ac:dyDescent="0.3">
      <c r="A157" s="1" t="s">
        <v>545</v>
      </c>
      <c r="B157" s="1" t="s">
        <v>546</v>
      </c>
      <c r="C157" s="2">
        <v>46147</v>
      </c>
      <c r="D157">
        <v>96390</v>
      </c>
      <c r="E157">
        <v>7711.2</v>
      </c>
      <c r="F157">
        <v>50</v>
      </c>
      <c r="G157">
        <v>104051.2</v>
      </c>
      <c r="H157" s="1" t="s">
        <v>234</v>
      </c>
      <c r="I157">
        <v>104051.2</v>
      </c>
      <c r="J157" t="b">
        <v>0</v>
      </c>
      <c r="K157" t="str">
        <f>TEXT(clean_invoices[[#This Row],[Invoice_Date]],"yyyy-mm")</f>
        <v>2026-05</v>
      </c>
    </row>
    <row r="158" spans="1:11" x14ac:dyDescent="0.3">
      <c r="A158" s="1" t="s">
        <v>547</v>
      </c>
      <c r="B158" s="1" t="s">
        <v>548</v>
      </c>
      <c r="C158" s="2">
        <v>46039</v>
      </c>
      <c r="D158">
        <v>37240</v>
      </c>
      <c r="E158">
        <v>2979.2</v>
      </c>
      <c r="F158">
        <v>150</v>
      </c>
      <c r="G158">
        <v>40069.199999999997</v>
      </c>
      <c r="H158" s="1" t="s">
        <v>237</v>
      </c>
      <c r="I158">
        <v>40069.199999999997</v>
      </c>
      <c r="J158" t="b">
        <v>0</v>
      </c>
      <c r="K158" t="str">
        <f>TEXT(clean_invoices[[#This Row],[Invoice_Date]],"yyyy-mm")</f>
        <v>2026-01</v>
      </c>
    </row>
    <row r="159" spans="1:11" x14ac:dyDescent="0.3">
      <c r="A159" s="1" t="s">
        <v>549</v>
      </c>
      <c r="B159" s="1" t="s">
        <v>550</v>
      </c>
      <c r="C159" s="2">
        <v>45982</v>
      </c>
      <c r="D159">
        <v>91448</v>
      </c>
      <c r="E159">
        <v>7315.84</v>
      </c>
      <c r="F159">
        <v>200</v>
      </c>
      <c r="G159">
        <v>98563.839999999997</v>
      </c>
      <c r="H159" s="1" t="s">
        <v>252</v>
      </c>
      <c r="I159">
        <v>98563.839999999997</v>
      </c>
      <c r="J159" t="b">
        <v>0</v>
      </c>
      <c r="K159" t="str">
        <f>TEXT(clean_invoices[[#This Row],[Invoice_Date]],"yyyy-mm")</f>
        <v>2025-11</v>
      </c>
    </row>
    <row r="160" spans="1:11" x14ac:dyDescent="0.3">
      <c r="A160" s="1" t="s">
        <v>551</v>
      </c>
      <c r="B160" s="1" t="s">
        <v>552</v>
      </c>
      <c r="C160" s="2">
        <v>45915</v>
      </c>
      <c r="D160">
        <v>63662</v>
      </c>
      <c r="E160">
        <v>5092.96</v>
      </c>
      <c r="F160">
        <v>100</v>
      </c>
      <c r="G160">
        <v>68654.960000000006</v>
      </c>
      <c r="H160" s="1" t="s">
        <v>237</v>
      </c>
      <c r="I160">
        <v>68654.960000000006</v>
      </c>
      <c r="J160" t="b">
        <v>0</v>
      </c>
      <c r="K160" t="str">
        <f>TEXT(clean_invoices[[#This Row],[Invoice_Date]],"yyyy-mm")</f>
        <v>2025-09</v>
      </c>
    </row>
    <row r="161" spans="1:11" x14ac:dyDescent="0.3">
      <c r="A161" s="1" t="s">
        <v>553</v>
      </c>
      <c r="B161" s="1" t="s">
        <v>554</v>
      </c>
      <c r="C161" s="2">
        <v>46049</v>
      </c>
      <c r="D161">
        <v>99822</v>
      </c>
      <c r="E161">
        <v>7985.76</v>
      </c>
      <c r="F161">
        <v>50</v>
      </c>
      <c r="G161">
        <v>107757.75999999999</v>
      </c>
      <c r="H161" s="1" t="s">
        <v>252</v>
      </c>
      <c r="I161">
        <v>107757.75999999999</v>
      </c>
      <c r="J161" t="b">
        <v>0</v>
      </c>
      <c r="K161" t="str">
        <f>TEXT(clean_invoices[[#This Row],[Invoice_Date]],"yyyy-mm")</f>
        <v>2026-01</v>
      </c>
    </row>
    <row r="162" spans="1:11" x14ac:dyDescent="0.3">
      <c r="A162" s="1" t="s">
        <v>555</v>
      </c>
      <c r="B162" s="1" t="s">
        <v>556</v>
      </c>
      <c r="C162" s="2">
        <v>45904</v>
      </c>
      <c r="D162">
        <v>26481</v>
      </c>
      <c r="E162">
        <v>2118.48</v>
      </c>
      <c r="F162">
        <v>0</v>
      </c>
      <c r="G162">
        <v>28599.48</v>
      </c>
      <c r="H162" s="1" t="s">
        <v>252</v>
      </c>
      <c r="I162">
        <v>28599.48</v>
      </c>
      <c r="J162" t="b">
        <v>0</v>
      </c>
      <c r="K162" t="str">
        <f>TEXT(clean_invoices[[#This Row],[Invoice_Date]],"yyyy-mm")</f>
        <v>2025-09</v>
      </c>
    </row>
    <row r="163" spans="1:11" x14ac:dyDescent="0.3">
      <c r="A163" s="1" t="s">
        <v>557</v>
      </c>
      <c r="B163" s="1" t="s">
        <v>558</v>
      </c>
      <c r="C163" s="2">
        <v>45856</v>
      </c>
      <c r="D163">
        <v>87885</v>
      </c>
      <c r="E163">
        <v>7030.8</v>
      </c>
      <c r="F163">
        <v>150</v>
      </c>
      <c r="G163">
        <v>94765.8</v>
      </c>
      <c r="H163" s="1" t="s">
        <v>234</v>
      </c>
      <c r="I163">
        <v>94765.8</v>
      </c>
      <c r="J163" t="b">
        <v>0</v>
      </c>
      <c r="K163" t="str">
        <f>TEXT(clean_invoices[[#This Row],[Invoice_Date]],"yyyy-mm")</f>
        <v>2025-07</v>
      </c>
    </row>
    <row r="164" spans="1:11" x14ac:dyDescent="0.3">
      <c r="A164" s="1" t="s">
        <v>559</v>
      </c>
      <c r="B164" s="1" t="s">
        <v>560</v>
      </c>
      <c r="C164" s="2">
        <v>45928</v>
      </c>
      <c r="D164">
        <v>122958</v>
      </c>
      <c r="E164">
        <v>9836.64</v>
      </c>
      <c r="F164">
        <v>150</v>
      </c>
      <c r="G164">
        <v>132644.64000000001</v>
      </c>
      <c r="H164" s="1" t="s">
        <v>237</v>
      </c>
      <c r="I164">
        <v>132644.64000000001</v>
      </c>
      <c r="J164" t="b">
        <v>0</v>
      </c>
      <c r="K164" t="str">
        <f>TEXT(clean_invoices[[#This Row],[Invoice_Date]],"yyyy-mm")</f>
        <v>2025-09</v>
      </c>
    </row>
    <row r="165" spans="1:11" x14ac:dyDescent="0.3">
      <c r="A165" s="1" t="s">
        <v>561</v>
      </c>
      <c r="B165" s="1" t="s">
        <v>562</v>
      </c>
      <c r="C165" s="2">
        <v>46023</v>
      </c>
      <c r="D165">
        <v>5742</v>
      </c>
      <c r="E165">
        <v>459.36</v>
      </c>
      <c r="F165">
        <v>150</v>
      </c>
      <c r="G165">
        <v>6051.36</v>
      </c>
      <c r="H165" s="1" t="s">
        <v>237</v>
      </c>
      <c r="I165">
        <v>6051.36</v>
      </c>
      <c r="J165" t="b">
        <v>0</v>
      </c>
      <c r="K165" t="str">
        <f>TEXT(clean_invoices[[#This Row],[Invoice_Date]],"yyyy-mm")</f>
        <v>2026-01</v>
      </c>
    </row>
    <row r="166" spans="1:11" x14ac:dyDescent="0.3">
      <c r="A166" s="1" t="s">
        <v>563</v>
      </c>
      <c r="B166" s="1" t="s">
        <v>564</v>
      </c>
      <c r="C166" s="2">
        <v>46008</v>
      </c>
      <c r="D166">
        <v>83402</v>
      </c>
      <c r="E166">
        <v>6672.16</v>
      </c>
      <c r="F166">
        <v>100</v>
      </c>
      <c r="G166">
        <v>89974.16</v>
      </c>
      <c r="H166" s="1" t="s">
        <v>252</v>
      </c>
      <c r="I166">
        <v>89974.16</v>
      </c>
      <c r="J166" t="b">
        <v>0</v>
      </c>
      <c r="K166" t="str">
        <f>TEXT(clean_invoices[[#This Row],[Invoice_Date]],"yyyy-mm")</f>
        <v>2025-12</v>
      </c>
    </row>
    <row r="167" spans="1:11" x14ac:dyDescent="0.3">
      <c r="A167" s="1" t="s">
        <v>565</v>
      </c>
      <c r="B167" s="1" t="s">
        <v>566</v>
      </c>
      <c r="C167" s="2">
        <v>45959</v>
      </c>
      <c r="D167">
        <v>38948</v>
      </c>
      <c r="E167">
        <v>3115.84</v>
      </c>
      <c r="F167">
        <v>200</v>
      </c>
      <c r="G167">
        <v>41863.839999999997</v>
      </c>
      <c r="H167" s="1" t="s">
        <v>237</v>
      </c>
      <c r="I167">
        <v>41863.839999999997</v>
      </c>
      <c r="J167" t="b">
        <v>0</v>
      </c>
      <c r="K167" t="str">
        <f>TEXT(clean_invoices[[#This Row],[Invoice_Date]],"yyyy-mm")</f>
        <v>2025-10</v>
      </c>
    </row>
    <row r="168" spans="1:11" x14ac:dyDescent="0.3">
      <c r="A168" s="1" t="s">
        <v>567</v>
      </c>
      <c r="B168" s="1" t="s">
        <v>568</v>
      </c>
      <c r="C168" s="2">
        <v>46083</v>
      </c>
      <c r="D168">
        <v>7700</v>
      </c>
      <c r="E168">
        <v>616</v>
      </c>
      <c r="F168">
        <v>50</v>
      </c>
      <c r="G168">
        <v>8266</v>
      </c>
      <c r="H168" s="1" t="s">
        <v>237</v>
      </c>
      <c r="I168">
        <v>8266</v>
      </c>
      <c r="J168" t="b">
        <v>0</v>
      </c>
      <c r="K168" t="str">
        <f>TEXT(clean_invoices[[#This Row],[Invoice_Date]],"yyyy-mm")</f>
        <v>2026-03</v>
      </c>
    </row>
    <row r="169" spans="1:11" x14ac:dyDescent="0.3">
      <c r="A169" s="1" t="s">
        <v>569</v>
      </c>
      <c r="B169" s="1" t="s">
        <v>570</v>
      </c>
      <c r="C169" s="2">
        <v>45993</v>
      </c>
      <c r="D169">
        <v>16940</v>
      </c>
      <c r="E169">
        <v>1355.2</v>
      </c>
      <c r="F169">
        <v>0</v>
      </c>
      <c r="G169">
        <v>18295.2</v>
      </c>
      <c r="H169" s="1" t="s">
        <v>237</v>
      </c>
      <c r="I169">
        <v>18295.2</v>
      </c>
      <c r="J169" t="b">
        <v>0</v>
      </c>
      <c r="K169" t="str">
        <f>TEXT(clean_invoices[[#This Row],[Invoice_Date]],"yyyy-mm")</f>
        <v>2025-12</v>
      </c>
    </row>
    <row r="170" spans="1:11" x14ac:dyDescent="0.3">
      <c r="A170" s="1" t="s">
        <v>571</v>
      </c>
      <c r="B170" s="1" t="s">
        <v>572</v>
      </c>
      <c r="C170" s="2">
        <v>45859</v>
      </c>
      <c r="D170">
        <v>83386</v>
      </c>
      <c r="E170">
        <v>6670.88</v>
      </c>
      <c r="F170">
        <v>150</v>
      </c>
      <c r="G170">
        <v>89973.88</v>
      </c>
      <c r="H170" s="1" t="s">
        <v>234</v>
      </c>
      <c r="I170">
        <v>89906.880000000005</v>
      </c>
      <c r="J170" t="b">
        <v>1</v>
      </c>
      <c r="K170" t="str">
        <f>TEXT(clean_invoices[[#This Row],[Invoice_Date]],"yyyy-mm")</f>
        <v>2025-07</v>
      </c>
    </row>
    <row r="171" spans="1:11" x14ac:dyDescent="0.3">
      <c r="A171" s="1" t="s">
        <v>573</v>
      </c>
      <c r="B171" s="1" t="s">
        <v>574</v>
      </c>
      <c r="C171" s="2">
        <v>46046</v>
      </c>
      <c r="D171">
        <v>34510</v>
      </c>
      <c r="E171">
        <v>2760.8</v>
      </c>
      <c r="F171">
        <v>150</v>
      </c>
      <c r="G171">
        <v>37120.800000000003</v>
      </c>
      <c r="H171" s="1" t="s">
        <v>237</v>
      </c>
      <c r="I171">
        <v>37120.800000000003</v>
      </c>
      <c r="J171" t="b">
        <v>0</v>
      </c>
      <c r="K171" t="str">
        <f>TEXT(clean_invoices[[#This Row],[Invoice_Date]],"yyyy-mm")</f>
        <v>2026-01</v>
      </c>
    </row>
    <row r="172" spans="1:11" x14ac:dyDescent="0.3">
      <c r="A172" s="1" t="s">
        <v>575</v>
      </c>
      <c r="B172" s="1" t="s">
        <v>576</v>
      </c>
      <c r="C172" s="2">
        <v>46180</v>
      </c>
      <c r="D172">
        <v>66930</v>
      </c>
      <c r="E172">
        <v>5354.4</v>
      </c>
      <c r="F172">
        <v>200</v>
      </c>
      <c r="G172">
        <v>72084.399999999994</v>
      </c>
      <c r="H172" s="1" t="s">
        <v>234</v>
      </c>
      <c r="I172">
        <v>72084.399999999994</v>
      </c>
      <c r="J172" t="b">
        <v>0</v>
      </c>
      <c r="K172" t="str">
        <f>TEXT(clean_invoices[[#This Row],[Invoice_Date]],"yyyy-mm")</f>
        <v>2026-06</v>
      </c>
    </row>
    <row r="173" spans="1:11" x14ac:dyDescent="0.3">
      <c r="A173" s="1" t="s">
        <v>577</v>
      </c>
      <c r="B173" s="1" t="s">
        <v>578</v>
      </c>
      <c r="C173" s="2">
        <v>45904</v>
      </c>
      <c r="D173">
        <v>154380</v>
      </c>
      <c r="E173">
        <v>12350.4</v>
      </c>
      <c r="F173">
        <v>150</v>
      </c>
      <c r="G173">
        <v>166580.4</v>
      </c>
      <c r="H173" s="1" t="s">
        <v>252</v>
      </c>
      <c r="I173">
        <v>166580.4</v>
      </c>
      <c r="J173" t="b">
        <v>0</v>
      </c>
      <c r="K173" t="str">
        <f>TEXT(clean_invoices[[#This Row],[Invoice_Date]],"yyyy-mm")</f>
        <v>2025-09</v>
      </c>
    </row>
    <row r="174" spans="1:11" x14ac:dyDescent="0.3">
      <c r="A174" s="1" t="s">
        <v>579</v>
      </c>
      <c r="B174" s="1" t="s">
        <v>580</v>
      </c>
      <c r="C174" s="2">
        <v>46177</v>
      </c>
      <c r="D174">
        <v>133438</v>
      </c>
      <c r="E174">
        <v>10675.04</v>
      </c>
      <c r="F174">
        <v>150</v>
      </c>
      <c r="G174">
        <v>143963.04</v>
      </c>
      <c r="H174" s="1" t="s">
        <v>237</v>
      </c>
      <c r="I174">
        <v>143963.04</v>
      </c>
      <c r="J174" t="b">
        <v>0</v>
      </c>
      <c r="K174" t="str">
        <f>TEXT(clean_invoices[[#This Row],[Invoice_Date]],"yyyy-mm")</f>
        <v>2026-06</v>
      </c>
    </row>
    <row r="175" spans="1:11" x14ac:dyDescent="0.3">
      <c r="A175" s="1" t="s">
        <v>581</v>
      </c>
      <c r="B175" s="1" t="s">
        <v>582</v>
      </c>
      <c r="C175" s="2">
        <v>45865</v>
      </c>
      <c r="D175">
        <v>38250</v>
      </c>
      <c r="E175">
        <v>3060</v>
      </c>
      <c r="F175">
        <v>50</v>
      </c>
      <c r="G175">
        <v>41260</v>
      </c>
      <c r="H175" s="1" t="s">
        <v>234</v>
      </c>
      <c r="I175">
        <v>41260</v>
      </c>
      <c r="J175" t="b">
        <v>0</v>
      </c>
      <c r="K175" t="str">
        <f>TEXT(clean_invoices[[#This Row],[Invoice_Date]],"yyyy-mm")</f>
        <v>2025-07</v>
      </c>
    </row>
    <row r="176" spans="1:11" x14ac:dyDescent="0.3">
      <c r="A176" s="1" t="s">
        <v>583</v>
      </c>
      <c r="B176" s="1" t="s">
        <v>584</v>
      </c>
      <c r="C176" s="2">
        <v>45855</v>
      </c>
      <c r="D176">
        <v>109434</v>
      </c>
      <c r="E176">
        <v>8754.7199999999993</v>
      </c>
      <c r="F176">
        <v>150</v>
      </c>
      <c r="G176">
        <v>118038.72</v>
      </c>
      <c r="H176" s="1" t="s">
        <v>237</v>
      </c>
      <c r="I176">
        <v>118038.72</v>
      </c>
      <c r="J176" t="b">
        <v>0</v>
      </c>
      <c r="K176" t="str">
        <f>TEXT(clean_invoices[[#This Row],[Invoice_Date]],"yyyy-mm")</f>
        <v>2025-07</v>
      </c>
    </row>
    <row r="177" spans="1:11" x14ac:dyDescent="0.3">
      <c r="A177" s="1" t="s">
        <v>585</v>
      </c>
      <c r="B177" s="1" t="s">
        <v>586</v>
      </c>
      <c r="C177" s="2">
        <v>46031</v>
      </c>
      <c r="D177">
        <v>55360</v>
      </c>
      <c r="E177">
        <v>4428.8</v>
      </c>
      <c r="F177">
        <v>200</v>
      </c>
      <c r="G177">
        <v>59588.800000000003</v>
      </c>
      <c r="H177" s="1" t="s">
        <v>237</v>
      </c>
      <c r="I177">
        <v>59588.800000000003</v>
      </c>
      <c r="J177" t="b">
        <v>0</v>
      </c>
      <c r="K177" t="str">
        <f>TEXT(clean_invoices[[#This Row],[Invoice_Date]],"yyyy-mm")</f>
        <v>2026-01</v>
      </c>
    </row>
    <row r="178" spans="1:11" x14ac:dyDescent="0.3">
      <c r="A178" s="1" t="s">
        <v>587</v>
      </c>
      <c r="B178" s="1" t="s">
        <v>588</v>
      </c>
      <c r="C178" s="2">
        <v>46039</v>
      </c>
      <c r="D178">
        <v>26136</v>
      </c>
      <c r="E178">
        <v>2090.88</v>
      </c>
      <c r="F178">
        <v>150</v>
      </c>
      <c r="G178">
        <v>28076.880000000001</v>
      </c>
      <c r="H178" s="1" t="s">
        <v>237</v>
      </c>
      <c r="I178">
        <v>28076.880000000001</v>
      </c>
      <c r="J178" t="b">
        <v>0</v>
      </c>
      <c r="K178" t="str">
        <f>TEXT(clean_invoices[[#This Row],[Invoice_Date]],"yyyy-mm")</f>
        <v>2026-01</v>
      </c>
    </row>
    <row r="179" spans="1:11" x14ac:dyDescent="0.3">
      <c r="A179" s="1" t="s">
        <v>589</v>
      </c>
      <c r="B179" s="1" t="s">
        <v>590</v>
      </c>
      <c r="C179" s="2">
        <v>46068</v>
      </c>
      <c r="D179">
        <v>63336</v>
      </c>
      <c r="E179">
        <v>5066.88</v>
      </c>
      <c r="F179">
        <v>200</v>
      </c>
      <c r="G179">
        <v>68202.880000000005</v>
      </c>
      <c r="H179" s="1" t="s">
        <v>237</v>
      </c>
      <c r="I179">
        <v>68202.880000000005</v>
      </c>
      <c r="J179" t="b">
        <v>0</v>
      </c>
      <c r="K179" t="str">
        <f>TEXT(clean_invoices[[#This Row],[Invoice_Date]],"yyyy-mm")</f>
        <v>2026-02</v>
      </c>
    </row>
    <row r="180" spans="1:11" x14ac:dyDescent="0.3">
      <c r="A180" s="1" t="s">
        <v>591</v>
      </c>
      <c r="B180" s="1" t="s">
        <v>592</v>
      </c>
      <c r="C180" s="2">
        <v>46004</v>
      </c>
      <c r="D180">
        <v>35520</v>
      </c>
      <c r="E180">
        <v>2841.6</v>
      </c>
      <c r="F180">
        <v>100</v>
      </c>
      <c r="G180">
        <v>38261.599999999999</v>
      </c>
      <c r="H180" s="1" t="s">
        <v>234</v>
      </c>
      <c r="I180">
        <v>38261.599999999999</v>
      </c>
      <c r="J180" t="b">
        <v>0</v>
      </c>
      <c r="K180" t="str">
        <f>TEXT(clean_invoices[[#This Row],[Invoice_Date]],"yyyy-mm")</f>
        <v>2025-12</v>
      </c>
    </row>
    <row r="181" spans="1:11" x14ac:dyDescent="0.3">
      <c r="A181" s="1" t="s">
        <v>593</v>
      </c>
      <c r="B181" s="1" t="s">
        <v>594</v>
      </c>
      <c r="C181" s="2">
        <v>45865</v>
      </c>
      <c r="D181">
        <v>18045</v>
      </c>
      <c r="E181">
        <v>1443.6</v>
      </c>
      <c r="F181">
        <v>200</v>
      </c>
      <c r="G181">
        <v>19288.599999999999</v>
      </c>
      <c r="H181" s="1" t="s">
        <v>234</v>
      </c>
      <c r="I181">
        <v>19288.599999999999</v>
      </c>
      <c r="J181" t="b">
        <v>0</v>
      </c>
      <c r="K181" t="str">
        <f>TEXT(clean_invoices[[#This Row],[Invoice_Date]],"yyyy-mm")</f>
        <v>2025-07</v>
      </c>
    </row>
    <row r="182" spans="1:11" x14ac:dyDescent="0.3">
      <c r="A182" s="1" t="s">
        <v>595</v>
      </c>
      <c r="B182" s="1" t="s">
        <v>596</v>
      </c>
      <c r="C182" s="2">
        <v>46167</v>
      </c>
      <c r="D182">
        <v>86000</v>
      </c>
      <c r="E182">
        <v>6880</v>
      </c>
      <c r="F182">
        <v>50</v>
      </c>
      <c r="G182">
        <v>92830</v>
      </c>
      <c r="H182" s="1" t="s">
        <v>234</v>
      </c>
      <c r="I182">
        <v>92830</v>
      </c>
      <c r="J182" t="b">
        <v>0</v>
      </c>
      <c r="K182" t="str">
        <f>TEXT(clean_invoices[[#This Row],[Invoice_Date]],"yyyy-mm")</f>
        <v>2026-05</v>
      </c>
    </row>
    <row r="183" spans="1:11" x14ac:dyDescent="0.3">
      <c r="A183" s="1" t="s">
        <v>597</v>
      </c>
      <c r="B183" s="1" t="s">
        <v>598</v>
      </c>
      <c r="C183" s="2">
        <v>46113</v>
      </c>
      <c r="D183">
        <v>149002</v>
      </c>
      <c r="E183">
        <v>11920.16</v>
      </c>
      <c r="F183">
        <v>50</v>
      </c>
      <c r="G183">
        <v>160872.16</v>
      </c>
      <c r="H183" s="1" t="s">
        <v>252</v>
      </c>
      <c r="I183">
        <v>160872.16</v>
      </c>
      <c r="J183" t="b">
        <v>0</v>
      </c>
      <c r="K183" t="str">
        <f>TEXT(clean_invoices[[#This Row],[Invoice_Date]],"yyyy-mm")</f>
        <v>2026-04</v>
      </c>
    </row>
    <row r="184" spans="1:11" x14ac:dyDescent="0.3">
      <c r="A184" s="1" t="s">
        <v>599</v>
      </c>
      <c r="B184" s="1" t="s">
        <v>600</v>
      </c>
      <c r="C184" s="2">
        <v>46132</v>
      </c>
      <c r="D184">
        <v>7120</v>
      </c>
      <c r="E184">
        <v>569.6</v>
      </c>
      <c r="F184">
        <v>0</v>
      </c>
      <c r="G184">
        <v>7689.6</v>
      </c>
      <c r="H184" s="1" t="s">
        <v>252</v>
      </c>
      <c r="I184">
        <v>7689.6</v>
      </c>
      <c r="J184" t="b">
        <v>0</v>
      </c>
      <c r="K184" t="str">
        <f>TEXT(clean_invoices[[#This Row],[Invoice_Date]],"yyyy-mm")</f>
        <v>2026-04</v>
      </c>
    </row>
    <row r="185" spans="1:11" x14ac:dyDescent="0.3">
      <c r="A185" s="1" t="s">
        <v>601</v>
      </c>
      <c r="B185" s="1" t="s">
        <v>602</v>
      </c>
      <c r="C185" s="2">
        <v>45890</v>
      </c>
      <c r="D185">
        <v>34278</v>
      </c>
      <c r="E185">
        <v>2742.24</v>
      </c>
      <c r="F185">
        <v>200</v>
      </c>
      <c r="G185">
        <v>36820.239999999998</v>
      </c>
      <c r="H185" s="1" t="s">
        <v>252</v>
      </c>
      <c r="I185">
        <v>36820.239999999998</v>
      </c>
      <c r="J185" t="b">
        <v>0</v>
      </c>
      <c r="K185" t="str">
        <f>TEXT(clean_invoices[[#This Row],[Invoice_Date]],"yyyy-mm")</f>
        <v>2025-08</v>
      </c>
    </row>
    <row r="186" spans="1:11" x14ac:dyDescent="0.3">
      <c r="A186" s="1" t="s">
        <v>603</v>
      </c>
      <c r="B186" s="1" t="s">
        <v>604</v>
      </c>
      <c r="C186" s="2">
        <v>46183</v>
      </c>
      <c r="D186">
        <v>25288</v>
      </c>
      <c r="E186">
        <v>2023.04</v>
      </c>
      <c r="F186">
        <v>200</v>
      </c>
      <c r="G186">
        <v>27111.040000000001</v>
      </c>
      <c r="H186" s="1" t="s">
        <v>237</v>
      </c>
      <c r="I186">
        <v>27111.040000000001</v>
      </c>
      <c r="J186" t="b">
        <v>0</v>
      </c>
      <c r="K186" t="str">
        <f>TEXT(clean_invoices[[#This Row],[Invoice_Date]],"yyyy-mm")</f>
        <v>2026-06</v>
      </c>
    </row>
    <row r="187" spans="1:11" x14ac:dyDescent="0.3">
      <c r="A187" s="1" t="s">
        <v>605</v>
      </c>
      <c r="B187" s="1" t="s">
        <v>606</v>
      </c>
      <c r="C187" s="2">
        <v>45944</v>
      </c>
      <c r="D187">
        <v>80316</v>
      </c>
      <c r="E187">
        <v>6425.28</v>
      </c>
      <c r="F187">
        <v>0</v>
      </c>
      <c r="G187">
        <v>87212.28</v>
      </c>
      <c r="H187" s="1" t="s">
        <v>234</v>
      </c>
      <c r="I187">
        <v>86741.28</v>
      </c>
      <c r="J187" t="b">
        <v>1</v>
      </c>
      <c r="K187" t="str">
        <f>TEXT(clean_invoices[[#This Row],[Invoice_Date]],"yyyy-mm")</f>
        <v>2025-10</v>
      </c>
    </row>
    <row r="188" spans="1:11" x14ac:dyDescent="0.3">
      <c r="A188" s="1" t="s">
        <v>607</v>
      </c>
      <c r="B188" s="1" t="s">
        <v>608</v>
      </c>
      <c r="C188" s="2">
        <v>45909</v>
      </c>
      <c r="D188">
        <v>73872</v>
      </c>
      <c r="E188">
        <v>5909.76</v>
      </c>
      <c r="F188">
        <v>50</v>
      </c>
      <c r="G188">
        <v>79731.759999999995</v>
      </c>
      <c r="H188" s="1" t="s">
        <v>252</v>
      </c>
      <c r="I188">
        <v>79731.759999999995</v>
      </c>
      <c r="J188" t="b">
        <v>0</v>
      </c>
      <c r="K188" t="str">
        <f>TEXT(clean_invoices[[#This Row],[Invoice_Date]],"yyyy-mm")</f>
        <v>2025-09</v>
      </c>
    </row>
    <row r="189" spans="1:11" x14ac:dyDescent="0.3">
      <c r="A189" s="1" t="s">
        <v>609</v>
      </c>
      <c r="B189" s="1" t="s">
        <v>610</v>
      </c>
      <c r="C189" s="2">
        <v>46173</v>
      </c>
      <c r="D189">
        <v>37352</v>
      </c>
      <c r="E189">
        <v>2988.16</v>
      </c>
      <c r="F189">
        <v>0</v>
      </c>
      <c r="G189">
        <v>40340.160000000003</v>
      </c>
      <c r="H189" s="1" t="s">
        <v>234</v>
      </c>
      <c r="I189">
        <v>40340.160000000003</v>
      </c>
      <c r="J189" t="b">
        <v>0</v>
      </c>
      <c r="K189" t="str">
        <f>TEXT(clean_invoices[[#This Row],[Invoice_Date]],"yyyy-mm")</f>
        <v>2026-05</v>
      </c>
    </row>
    <row r="190" spans="1:11" x14ac:dyDescent="0.3">
      <c r="A190" s="1" t="s">
        <v>611</v>
      </c>
      <c r="B190" s="1" t="s">
        <v>612</v>
      </c>
      <c r="C190" s="2">
        <v>46138</v>
      </c>
      <c r="D190">
        <v>27984</v>
      </c>
      <c r="E190">
        <v>2238.7199999999998</v>
      </c>
      <c r="F190">
        <v>100</v>
      </c>
      <c r="G190">
        <v>30122.720000000001</v>
      </c>
      <c r="H190" s="1" t="s">
        <v>234</v>
      </c>
      <c r="I190">
        <v>30122.720000000001</v>
      </c>
      <c r="J190" t="b">
        <v>0</v>
      </c>
      <c r="K190" t="str">
        <f>TEXT(clean_invoices[[#This Row],[Invoice_Date]],"yyyy-mm")</f>
        <v>2026-04</v>
      </c>
    </row>
    <row r="191" spans="1:11" x14ac:dyDescent="0.3">
      <c r="A191" s="1" t="s">
        <v>613</v>
      </c>
      <c r="B191" s="1" t="s">
        <v>614</v>
      </c>
      <c r="C191" s="2">
        <v>45871</v>
      </c>
      <c r="D191">
        <v>20916</v>
      </c>
      <c r="E191">
        <v>1673.28</v>
      </c>
      <c r="F191">
        <v>150</v>
      </c>
      <c r="G191">
        <v>22000.28</v>
      </c>
      <c r="H191" s="1" t="s">
        <v>234</v>
      </c>
      <c r="I191">
        <v>22439.279999999999</v>
      </c>
      <c r="J191" t="b">
        <v>1</v>
      </c>
      <c r="K191" t="str">
        <f>TEXT(clean_invoices[[#This Row],[Invoice_Date]],"yyyy-mm")</f>
        <v>2025-08</v>
      </c>
    </row>
    <row r="192" spans="1:11" x14ac:dyDescent="0.3">
      <c r="A192" s="1" t="s">
        <v>615</v>
      </c>
      <c r="B192" s="1" t="s">
        <v>616</v>
      </c>
      <c r="C192" s="2">
        <v>46103</v>
      </c>
      <c r="D192">
        <v>152586</v>
      </c>
      <c r="E192">
        <v>12206.88</v>
      </c>
      <c r="F192">
        <v>150</v>
      </c>
      <c r="G192">
        <v>164642.88</v>
      </c>
      <c r="H192" s="1" t="s">
        <v>234</v>
      </c>
      <c r="I192">
        <v>164642.88</v>
      </c>
      <c r="J192" t="b">
        <v>0</v>
      </c>
      <c r="K192" t="str">
        <f>TEXT(clean_invoices[[#This Row],[Invoice_Date]],"yyyy-mm")</f>
        <v>2026-03</v>
      </c>
    </row>
    <row r="193" spans="1:11" x14ac:dyDescent="0.3">
      <c r="A193" s="1" t="s">
        <v>617</v>
      </c>
      <c r="B193" s="1" t="s">
        <v>618</v>
      </c>
      <c r="C193" s="2">
        <v>46023</v>
      </c>
      <c r="D193">
        <v>8352</v>
      </c>
      <c r="E193">
        <v>668.16</v>
      </c>
      <c r="F193">
        <v>200</v>
      </c>
      <c r="G193">
        <v>9202.16</v>
      </c>
      <c r="H193" s="1" t="s">
        <v>252</v>
      </c>
      <c r="I193">
        <v>8820.16</v>
      </c>
      <c r="J193" t="b">
        <v>1</v>
      </c>
      <c r="K193" t="str">
        <f>TEXT(clean_invoices[[#This Row],[Invoice_Date]],"yyyy-mm")</f>
        <v>2026-01</v>
      </c>
    </row>
    <row r="194" spans="1:11" x14ac:dyDescent="0.3">
      <c r="A194" s="1" t="s">
        <v>619</v>
      </c>
      <c r="B194" s="1" t="s">
        <v>620</v>
      </c>
      <c r="C194" s="2">
        <v>45984</v>
      </c>
      <c r="D194">
        <v>18252</v>
      </c>
      <c r="E194">
        <v>1460.16</v>
      </c>
      <c r="F194">
        <v>100</v>
      </c>
      <c r="G194">
        <v>19612.16</v>
      </c>
      <c r="H194" s="1" t="s">
        <v>234</v>
      </c>
      <c r="I194">
        <v>19612.16</v>
      </c>
      <c r="J194" t="b">
        <v>0</v>
      </c>
      <c r="K194" t="str">
        <f>TEXT(clean_invoices[[#This Row],[Invoice_Date]],"yyyy-mm")</f>
        <v>2025-11</v>
      </c>
    </row>
    <row r="195" spans="1:11" x14ac:dyDescent="0.3">
      <c r="A195" s="1" t="s">
        <v>621</v>
      </c>
      <c r="B195" s="1" t="s">
        <v>622</v>
      </c>
      <c r="C195" s="2">
        <v>46021</v>
      </c>
      <c r="D195">
        <v>7189</v>
      </c>
      <c r="E195">
        <v>575.12</v>
      </c>
      <c r="F195">
        <v>200</v>
      </c>
      <c r="G195">
        <v>7564.12</v>
      </c>
      <c r="H195" s="1" t="s">
        <v>237</v>
      </c>
      <c r="I195">
        <v>7564.12</v>
      </c>
      <c r="J195" t="b">
        <v>0</v>
      </c>
      <c r="K195" t="str">
        <f>TEXT(clean_invoices[[#This Row],[Invoice_Date]],"yyyy-mm")</f>
        <v>2025-12</v>
      </c>
    </row>
    <row r="196" spans="1:11" x14ac:dyDescent="0.3">
      <c r="A196" s="1" t="s">
        <v>623</v>
      </c>
      <c r="B196" s="1" t="s">
        <v>624</v>
      </c>
      <c r="C196" s="2">
        <v>46001</v>
      </c>
      <c r="D196">
        <v>5451</v>
      </c>
      <c r="E196">
        <v>436.08</v>
      </c>
      <c r="F196">
        <v>150</v>
      </c>
      <c r="G196">
        <v>5697.08</v>
      </c>
      <c r="H196" s="1" t="s">
        <v>237</v>
      </c>
      <c r="I196">
        <v>5737.08</v>
      </c>
      <c r="J196" t="b">
        <v>1</v>
      </c>
      <c r="K196" t="str">
        <f>TEXT(clean_invoices[[#This Row],[Invoice_Date]],"yyyy-mm")</f>
        <v>2025-12</v>
      </c>
    </row>
    <row r="197" spans="1:11" x14ac:dyDescent="0.3">
      <c r="A197" s="1" t="s">
        <v>625</v>
      </c>
      <c r="B197" s="1" t="s">
        <v>626</v>
      </c>
      <c r="C197" s="2">
        <v>45904</v>
      </c>
      <c r="D197">
        <v>52668</v>
      </c>
      <c r="E197">
        <v>4213.4399999999996</v>
      </c>
      <c r="F197">
        <v>0</v>
      </c>
      <c r="G197">
        <v>57349.440000000002</v>
      </c>
      <c r="H197" s="1" t="s">
        <v>252</v>
      </c>
      <c r="I197">
        <v>56881.440000000002</v>
      </c>
      <c r="J197" t="b">
        <v>1</v>
      </c>
      <c r="K197" t="str">
        <f>TEXT(clean_invoices[[#This Row],[Invoice_Date]],"yyyy-mm")</f>
        <v>2025-09</v>
      </c>
    </row>
    <row r="198" spans="1:11" x14ac:dyDescent="0.3">
      <c r="A198" s="1" t="s">
        <v>627</v>
      </c>
      <c r="B198" s="1" t="s">
        <v>628</v>
      </c>
      <c r="C198" s="2">
        <v>45937</v>
      </c>
      <c r="D198">
        <v>38808</v>
      </c>
      <c r="E198">
        <v>3104.64</v>
      </c>
      <c r="F198">
        <v>150</v>
      </c>
      <c r="G198">
        <v>41762.639999999999</v>
      </c>
      <c r="H198" s="1" t="s">
        <v>234</v>
      </c>
      <c r="I198">
        <v>41762.639999999999</v>
      </c>
      <c r="J198" t="b">
        <v>0</v>
      </c>
      <c r="K198" t="str">
        <f>TEXT(clean_invoices[[#This Row],[Invoice_Date]],"yyyy-mm")</f>
        <v>2025-10</v>
      </c>
    </row>
    <row r="199" spans="1:11" x14ac:dyDescent="0.3">
      <c r="A199" s="1" t="s">
        <v>629</v>
      </c>
      <c r="B199" s="1" t="s">
        <v>630</v>
      </c>
      <c r="C199" s="2">
        <v>45921</v>
      </c>
      <c r="D199">
        <v>114000</v>
      </c>
      <c r="E199">
        <v>9120</v>
      </c>
      <c r="F199">
        <v>200</v>
      </c>
      <c r="G199">
        <v>122920</v>
      </c>
      <c r="H199" s="1" t="s">
        <v>237</v>
      </c>
      <c r="I199">
        <v>122920</v>
      </c>
      <c r="J199" t="b">
        <v>0</v>
      </c>
      <c r="K199" t="str">
        <f>TEXT(clean_invoices[[#This Row],[Invoice_Date]],"yyyy-mm")</f>
        <v>2025-09</v>
      </c>
    </row>
    <row r="200" spans="1:11" x14ac:dyDescent="0.3">
      <c r="A200" s="1" t="s">
        <v>631</v>
      </c>
      <c r="B200" s="1" t="s">
        <v>632</v>
      </c>
      <c r="C200" s="2">
        <v>46097</v>
      </c>
      <c r="D200">
        <v>32357</v>
      </c>
      <c r="E200">
        <v>2588.56</v>
      </c>
      <c r="F200">
        <v>150</v>
      </c>
      <c r="G200">
        <v>34795.56</v>
      </c>
      <c r="H200" s="1" t="s">
        <v>234</v>
      </c>
      <c r="I200">
        <v>34795.56</v>
      </c>
      <c r="J200" t="b">
        <v>0</v>
      </c>
      <c r="K200" t="str">
        <f>TEXT(clean_invoices[[#This Row],[Invoice_Date]],"yyyy-mm")</f>
        <v>2026-03</v>
      </c>
    </row>
    <row r="201" spans="1:11" x14ac:dyDescent="0.3">
      <c r="A201" s="1" t="s">
        <v>633</v>
      </c>
      <c r="B201" s="1" t="s">
        <v>634</v>
      </c>
      <c r="C201" s="2">
        <v>45935</v>
      </c>
      <c r="D201">
        <v>77168</v>
      </c>
      <c r="E201">
        <v>6173.44</v>
      </c>
      <c r="F201">
        <v>100</v>
      </c>
      <c r="G201">
        <v>83241.440000000002</v>
      </c>
      <c r="H201" s="1" t="s">
        <v>234</v>
      </c>
      <c r="I201">
        <v>83241.440000000002</v>
      </c>
      <c r="J201" t="b">
        <v>0</v>
      </c>
      <c r="K201" t="str">
        <f>TEXT(clean_invoices[[#This Row],[Invoice_Date]],"yyyy-mm")</f>
        <v>2025-10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202FF-6A4D-4195-A83C-5800D7EDEB59}">
  <dimension ref="A1:G201"/>
  <sheetViews>
    <sheetView workbookViewId="0"/>
  </sheetViews>
  <sheetFormatPr defaultRowHeight="14.4" x14ac:dyDescent="0.3"/>
  <cols>
    <col min="1" max="1" width="9.6640625" bestFit="1" customWidth="1"/>
    <col min="2" max="2" width="13.6640625" bestFit="1" customWidth="1"/>
    <col min="3" max="3" width="12.44140625" bestFit="1" customWidth="1"/>
    <col min="4" max="4" width="8" bestFit="1" customWidth="1"/>
    <col min="5" max="5" width="14.88671875" bestFit="1" customWidth="1"/>
    <col min="6" max="6" width="16.44140625" bestFit="1" customWidth="1"/>
    <col min="7" max="7" width="12" bestFit="1" customWidth="1"/>
  </cols>
  <sheetData>
    <row r="1" spans="1:7" x14ac:dyDescent="0.3">
      <c r="A1" t="s">
        <v>0</v>
      </c>
      <c r="B1" t="s">
        <v>1</v>
      </c>
      <c r="C1" t="s">
        <v>2</v>
      </c>
      <c r="D1" t="s">
        <v>3</v>
      </c>
      <c r="E1" t="s">
        <v>4</v>
      </c>
      <c r="F1" t="s">
        <v>5</v>
      </c>
      <c r="G1" t="s">
        <v>6</v>
      </c>
    </row>
    <row r="2" spans="1:7" x14ac:dyDescent="0.3">
      <c r="A2" s="1" t="s">
        <v>7</v>
      </c>
      <c r="B2" s="1" t="s">
        <v>8</v>
      </c>
      <c r="C2" s="1" t="s">
        <v>9</v>
      </c>
      <c r="D2">
        <v>488</v>
      </c>
      <c r="E2">
        <v>111</v>
      </c>
      <c r="F2">
        <v>58560</v>
      </c>
      <c r="G2" t="b">
        <v>0</v>
      </c>
    </row>
    <row r="3" spans="1:7" x14ac:dyDescent="0.3">
      <c r="A3" s="1" t="s">
        <v>10</v>
      </c>
      <c r="B3" s="1" t="s">
        <v>11</v>
      </c>
      <c r="C3" s="1" t="s">
        <v>12</v>
      </c>
      <c r="D3">
        <v>69</v>
      </c>
      <c r="E3">
        <v>62</v>
      </c>
      <c r="F3">
        <v>10626</v>
      </c>
      <c r="G3" t="b">
        <v>0</v>
      </c>
    </row>
    <row r="4" spans="1:7" x14ac:dyDescent="0.3">
      <c r="A4" s="1" t="s">
        <v>13</v>
      </c>
      <c r="B4" s="1" t="s">
        <v>14</v>
      </c>
      <c r="C4" s="1" t="s">
        <v>9</v>
      </c>
      <c r="D4">
        <v>923</v>
      </c>
      <c r="E4">
        <v>170</v>
      </c>
      <c r="F4">
        <v>143988</v>
      </c>
      <c r="G4" t="b">
        <v>0</v>
      </c>
    </row>
    <row r="5" spans="1:7" x14ac:dyDescent="0.3">
      <c r="A5" s="1" t="s">
        <v>15</v>
      </c>
      <c r="B5" s="1" t="s">
        <v>16</v>
      </c>
      <c r="C5" s="1" t="s">
        <v>17</v>
      </c>
      <c r="D5">
        <v>887</v>
      </c>
      <c r="E5">
        <v>77</v>
      </c>
      <c r="F5">
        <v>204010</v>
      </c>
      <c r="G5" t="b">
        <v>0</v>
      </c>
    </row>
    <row r="6" spans="1:7" x14ac:dyDescent="0.3">
      <c r="A6" s="1" t="s">
        <v>18</v>
      </c>
      <c r="B6" s="1" t="s">
        <v>19</v>
      </c>
      <c r="C6" s="1" t="s">
        <v>12</v>
      </c>
      <c r="D6">
        <v>764</v>
      </c>
      <c r="E6">
        <v>143</v>
      </c>
      <c r="F6">
        <v>306364</v>
      </c>
      <c r="G6" t="b">
        <v>0</v>
      </c>
    </row>
    <row r="7" spans="1:7" x14ac:dyDescent="0.3">
      <c r="A7" s="1" t="s">
        <v>20</v>
      </c>
      <c r="B7" s="1" t="s">
        <v>11</v>
      </c>
      <c r="C7" s="1" t="s">
        <v>9</v>
      </c>
      <c r="D7">
        <v>66</v>
      </c>
      <c r="E7">
        <v>152</v>
      </c>
      <c r="F7">
        <v>2376</v>
      </c>
      <c r="G7" t="b">
        <v>1</v>
      </c>
    </row>
    <row r="8" spans="1:7" x14ac:dyDescent="0.3">
      <c r="A8" s="1" t="s">
        <v>21</v>
      </c>
      <c r="B8" s="1" t="s">
        <v>8</v>
      </c>
      <c r="C8" s="1" t="s">
        <v>22</v>
      </c>
      <c r="D8">
        <v>219</v>
      </c>
      <c r="E8">
        <v>142</v>
      </c>
      <c r="F8">
        <v>64167</v>
      </c>
      <c r="G8" t="b">
        <v>0</v>
      </c>
    </row>
    <row r="9" spans="1:7" x14ac:dyDescent="0.3">
      <c r="A9" s="1" t="s">
        <v>23</v>
      </c>
      <c r="B9" s="1" t="s">
        <v>24</v>
      </c>
      <c r="C9" s="1" t="s">
        <v>9</v>
      </c>
      <c r="D9">
        <v>415</v>
      </c>
      <c r="E9">
        <v>179</v>
      </c>
      <c r="F9">
        <v>99600</v>
      </c>
      <c r="G9" t="b">
        <v>0</v>
      </c>
    </row>
    <row r="10" spans="1:7" x14ac:dyDescent="0.3">
      <c r="A10" s="1" t="s">
        <v>25</v>
      </c>
      <c r="B10" s="1" t="s">
        <v>19</v>
      </c>
      <c r="C10" s="1" t="s">
        <v>26</v>
      </c>
      <c r="D10">
        <v>865</v>
      </c>
      <c r="E10">
        <v>80</v>
      </c>
      <c r="F10">
        <v>64875</v>
      </c>
      <c r="G10" t="b">
        <v>0</v>
      </c>
    </row>
    <row r="11" spans="1:7" x14ac:dyDescent="0.3">
      <c r="A11" s="1" t="s">
        <v>27</v>
      </c>
      <c r="B11" s="1" t="s">
        <v>28</v>
      </c>
      <c r="C11" s="1" t="s">
        <v>22</v>
      </c>
      <c r="D11">
        <v>402</v>
      </c>
      <c r="E11">
        <v>136</v>
      </c>
      <c r="F11">
        <v>118590</v>
      </c>
      <c r="G11" t="b">
        <v>0</v>
      </c>
    </row>
    <row r="12" spans="1:7" x14ac:dyDescent="0.3">
      <c r="A12" s="1" t="s">
        <v>29</v>
      </c>
      <c r="B12" s="1" t="s">
        <v>30</v>
      </c>
      <c r="C12" s="1" t="s">
        <v>9</v>
      </c>
      <c r="D12">
        <v>223</v>
      </c>
      <c r="E12">
        <v>180</v>
      </c>
      <c r="F12">
        <v>47945</v>
      </c>
      <c r="G12" t="b">
        <v>0</v>
      </c>
    </row>
    <row r="13" spans="1:7" x14ac:dyDescent="0.3">
      <c r="A13" s="1" t="s">
        <v>31</v>
      </c>
      <c r="B13" s="1" t="s">
        <v>16</v>
      </c>
      <c r="C13" s="1" t="s">
        <v>22</v>
      </c>
      <c r="D13">
        <v>66</v>
      </c>
      <c r="E13">
        <v>59</v>
      </c>
      <c r="F13">
        <v>5280</v>
      </c>
      <c r="G13" t="b">
        <v>0</v>
      </c>
    </row>
    <row r="14" spans="1:7" x14ac:dyDescent="0.3">
      <c r="A14" s="1" t="s">
        <v>32</v>
      </c>
      <c r="B14" s="1" t="s">
        <v>33</v>
      </c>
      <c r="C14" s="1" t="s">
        <v>9</v>
      </c>
      <c r="D14">
        <v>551</v>
      </c>
      <c r="E14">
        <v>166</v>
      </c>
      <c r="F14">
        <v>47386</v>
      </c>
      <c r="G14" t="b">
        <v>0</v>
      </c>
    </row>
    <row r="15" spans="1:7" x14ac:dyDescent="0.3">
      <c r="A15" s="1" t="s">
        <v>34</v>
      </c>
      <c r="B15" s="1" t="s">
        <v>8</v>
      </c>
      <c r="C15" s="1" t="s">
        <v>9</v>
      </c>
      <c r="D15">
        <v>163</v>
      </c>
      <c r="E15">
        <v>133</v>
      </c>
      <c r="F15">
        <v>79218</v>
      </c>
      <c r="G15" t="b">
        <v>0</v>
      </c>
    </row>
    <row r="16" spans="1:7" x14ac:dyDescent="0.3">
      <c r="A16" s="1" t="s">
        <v>35</v>
      </c>
      <c r="B16" s="1" t="s">
        <v>11</v>
      </c>
      <c r="C16" s="1" t="s">
        <v>22</v>
      </c>
      <c r="D16">
        <v>186</v>
      </c>
      <c r="E16">
        <v>150</v>
      </c>
      <c r="F16">
        <v>60450</v>
      </c>
      <c r="G16" t="b">
        <v>0</v>
      </c>
    </row>
    <row r="17" spans="1:7" x14ac:dyDescent="0.3">
      <c r="A17" s="1" t="s">
        <v>36</v>
      </c>
      <c r="B17" s="1" t="s">
        <v>14</v>
      </c>
      <c r="C17" s="1" t="s">
        <v>9</v>
      </c>
      <c r="D17">
        <v>364</v>
      </c>
      <c r="E17">
        <v>179</v>
      </c>
      <c r="F17">
        <v>157976</v>
      </c>
      <c r="G17" t="b">
        <v>0</v>
      </c>
    </row>
    <row r="18" spans="1:7" x14ac:dyDescent="0.3">
      <c r="A18" s="1" t="s">
        <v>37</v>
      </c>
      <c r="B18" s="1" t="s">
        <v>8</v>
      </c>
      <c r="C18" s="1" t="s">
        <v>12</v>
      </c>
      <c r="D18">
        <v>521</v>
      </c>
      <c r="E18">
        <v>194</v>
      </c>
      <c r="F18">
        <v>84923</v>
      </c>
      <c r="G18" t="b">
        <v>0</v>
      </c>
    </row>
    <row r="19" spans="1:7" x14ac:dyDescent="0.3">
      <c r="A19" s="1" t="s">
        <v>38</v>
      </c>
      <c r="B19" s="1" t="s">
        <v>16</v>
      </c>
      <c r="C19" s="1" t="s">
        <v>26</v>
      </c>
      <c r="D19">
        <v>397</v>
      </c>
      <c r="E19">
        <v>134</v>
      </c>
      <c r="F19">
        <v>140538</v>
      </c>
      <c r="G19" t="b">
        <v>0</v>
      </c>
    </row>
    <row r="20" spans="1:7" x14ac:dyDescent="0.3">
      <c r="A20" s="1" t="s">
        <v>39</v>
      </c>
      <c r="B20" s="1" t="s">
        <v>28</v>
      </c>
      <c r="C20" s="1" t="s">
        <v>26</v>
      </c>
      <c r="D20">
        <v>617</v>
      </c>
      <c r="E20">
        <v>128</v>
      </c>
      <c r="F20">
        <v>257289</v>
      </c>
      <c r="G20" t="b">
        <v>0</v>
      </c>
    </row>
    <row r="21" spans="1:7" x14ac:dyDescent="0.3">
      <c r="A21" s="1" t="s">
        <v>40</v>
      </c>
      <c r="B21" s="1" t="s">
        <v>14</v>
      </c>
      <c r="C21" s="1" t="s">
        <v>9</v>
      </c>
      <c r="D21">
        <v>505</v>
      </c>
      <c r="E21">
        <v>117</v>
      </c>
      <c r="F21">
        <v>174225</v>
      </c>
      <c r="G21" t="b">
        <v>0</v>
      </c>
    </row>
    <row r="22" spans="1:7" x14ac:dyDescent="0.3">
      <c r="A22" s="1" t="s">
        <v>41</v>
      </c>
      <c r="B22" s="1" t="s">
        <v>14</v>
      </c>
      <c r="C22" s="1" t="s">
        <v>12</v>
      </c>
      <c r="D22">
        <v>253</v>
      </c>
      <c r="E22">
        <v>63</v>
      </c>
      <c r="F22">
        <v>77924</v>
      </c>
      <c r="G22" t="b">
        <v>0</v>
      </c>
    </row>
    <row r="23" spans="1:7" x14ac:dyDescent="0.3">
      <c r="A23" s="1" t="s">
        <v>42</v>
      </c>
      <c r="B23" s="1" t="s">
        <v>30</v>
      </c>
      <c r="C23" s="1" t="s">
        <v>17</v>
      </c>
      <c r="D23">
        <v>556</v>
      </c>
      <c r="E23">
        <v>147</v>
      </c>
      <c r="F23">
        <v>47260</v>
      </c>
      <c r="G23" t="b">
        <v>0</v>
      </c>
    </row>
    <row r="24" spans="1:7" x14ac:dyDescent="0.3">
      <c r="A24" s="1" t="s">
        <v>43</v>
      </c>
      <c r="B24" s="1" t="s">
        <v>16</v>
      </c>
      <c r="C24" s="1" t="s">
        <v>26</v>
      </c>
      <c r="D24">
        <v>606</v>
      </c>
      <c r="E24">
        <v>78</v>
      </c>
      <c r="F24">
        <v>64842</v>
      </c>
      <c r="G24" t="b">
        <v>0</v>
      </c>
    </row>
    <row r="25" spans="1:7" x14ac:dyDescent="0.3">
      <c r="A25" s="1" t="s">
        <v>44</v>
      </c>
      <c r="B25" s="1" t="s">
        <v>33</v>
      </c>
      <c r="C25" s="1" t="s">
        <v>12</v>
      </c>
      <c r="D25">
        <v>341</v>
      </c>
      <c r="E25">
        <v>157</v>
      </c>
      <c r="F25">
        <v>29667</v>
      </c>
      <c r="G25" t="b">
        <v>0</v>
      </c>
    </row>
    <row r="26" spans="1:7" x14ac:dyDescent="0.3">
      <c r="A26" s="1" t="s">
        <v>45</v>
      </c>
      <c r="B26" s="1" t="s">
        <v>46</v>
      </c>
      <c r="C26" s="1" t="s">
        <v>9</v>
      </c>
      <c r="D26">
        <v>440</v>
      </c>
      <c r="E26">
        <v>178</v>
      </c>
      <c r="F26">
        <v>178640</v>
      </c>
      <c r="G26" t="b">
        <v>0</v>
      </c>
    </row>
    <row r="27" spans="1:7" x14ac:dyDescent="0.3">
      <c r="A27" s="1" t="s">
        <v>47</v>
      </c>
      <c r="B27" s="1" t="s">
        <v>33</v>
      </c>
      <c r="C27" s="1" t="s">
        <v>17</v>
      </c>
      <c r="D27">
        <v>913</v>
      </c>
      <c r="E27">
        <v>65</v>
      </c>
      <c r="F27">
        <v>338723</v>
      </c>
      <c r="G27" t="b">
        <v>0</v>
      </c>
    </row>
    <row r="28" spans="1:7" x14ac:dyDescent="0.3">
      <c r="A28" s="1" t="s">
        <v>48</v>
      </c>
      <c r="B28" s="1" t="s">
        <v>8</v>
      </c>
      <c r="C28" s="1" t="s">
        <v>12</v>
      </c>
      <c r="D28">
        <v>232</v>
      </c>
      <c r="E28">
        <v>193</v>
      </c>
      <c r="F28">
        <v>40832</v>
      </c>
      <c r="G28" t="b">
        <v>0</v>
      </c>
    </row>
    <row r="29" spans="1:7" x14ac:dyDescent="0.3">
      <c r="A29" s="1" t="s">
        <v>49</v>
      </c>
      <c r="B29" s="1" t="s">
        <v>8</v>
      </c>
      <c r="C29" s="1" t="s">
        <v>17</v>
      </c>
      <c r="D29">
        <v>405</v>
      </c>
      <c r="E29">
        <v>130</v>
      </c>
      <c r="F29">
        <v>202095</v>
      </c>
      <c r="G29" t="b">
        <v>0</v>
      </c>
    </row>
    <row r="30" spans="1:7" x14ac:dyDescent="0.3">
      <c r="A30" s="1" t="s">
        <v>50</v>
      </c>
      <c r="B30" s="1" t="s">
        <v>33</v>
      </c>
      <c r="C30" s="1" t="s">
        <v>9</v>
      </c>
      <c r="D30">
        <v>954</v>
      </c>
      <c r="E30">
        <v>186</v>
      </c>
      <c r="F30">
        <v>176490</v>
      </c>
      <c r="G30" t="b">
        <v>0</v>
      </c>
    </row>
    <row r="31" spans="1:7" x14ac:dyDescent="0.3">
      <c r="A31" s="1" t="s">
        <v>51</v>
      </c>
      <c r="B31" s="1" t="s">
        <v>11</v>
      </c>
      <c r="C31" s="1" t="s">
        <v>12</v>
      </c>
      <c r="D31">
        <v>712</v>
      </c>
      <c r="E31">
        <v>117</v>
      </c>
      <c r="F31">
        <v>229264</v>
      </c>
      <c r="G31" t="b">
        <v>0</v>
      </c>
    </row>
    <row r="32" spans="1:7" x14ac:dyDescent="0.3">
      <c r="A32" s="1" t="s">
        <v>52</v>
      </c>
      <c r="B32" s="1" t="s">
        <v>46</v>
      </c>
      <c r="C32" s="1" t="s">
        <v>9</v>
      </c>
      <c r="D32">
        <v>1000</v>
      </c>
      <c r="E32">
        <v>113</v>
      </c>
      <c r="F32">
        <v>152000</v>
      </c>
      <c r="G32" t="b">
        <v>0</v>
      </c>
    </row>
    <row r="33" spans="1:7" x14ac:dyDescent="0.3">
      <c r="A33" s="1" t="s">
        <v>53</v>
      </c>
      <c r="B33" s="1" t="s">
        <v>19</v>
      </c>
      <c r="C33" s="1" t="s">
        <v>22</v>
      </c>
      <c r="D33">
        <v>250</v>
      </c>
      <c r="E33">
        <v>126</v>
      </c>
      <c r="F33">
        <v>101000</v>
      </c>
      <c r="G33" t="b">
        <v>0</v>
      </c>
    </row>
    <row r="34" spans="1:7" x14ac:dyDescent="0.3">
      <c r="A34" s="1" t="s">
        <v>54</v>
      </c>
      <c r="B34" s="1" t="s">
        <v>46</v>
      </c>
      <c r="C34" s="1" t="s">
        <v>12</v>
      </c>
      <c r="D34">
        <v>726</v>
      </c>
      <c r="E34">
        <v>175</v>
      </c>
      <c r="F34">
        <v>124872</v>
      </c>
      <c r="G34" t="b">
        <v>0</v>
      </c>
    </row>
    <row r="35" spans="1:7" x14ac:dyDescent="0.3">
      <c r="A35" s="1" t="s">
        <v>55</v>
      </c>
      <c r="B35" s="1" t="s">
        <v>11</v>
      </c>
      <c r="C35" s="1" t="s">
        <v>26</v>
      </c>
      <c r="D35">
        <v>593</v>
      </c>
      <c r="E35">
        <v>120</v>
      </c>
      <c r="F35">
        <v>93101</v>
      </c>
      <c r="G35" t="b">
        <v>0</v>
      </c>
    </row>
    <row r="36" spans="1:7" x14ac:dyDescent="0.3">
      <c r="A36" s="1" t="s">
        <v>56</v>
      </c>
      <c r="B36" s="1" t="s">
        <v>14</v>
      </c>
      <c r="C36" s="1" t="s">
        <v>12</v>
      </c>
      <c r="D36">
        <v>712</v>
      </c>
      <c r="E36">
        <v>189</v>
      </c>
      <c r="F36">
        <v>145248</v>
      </c>
      <c r="G36" t="b">
        <v>0</v>
      </c>
    </row>
    <row r="37" spans="1:7" x14ac:dyDescent="0.3">
      <c r="A37" s="1" t="s">
        <v>57</v>
      </c>
      <c r="B37" s="1" t="s">
        <v>11</v>
      </c>
      <c r="C37" s="1" t="s">
        <v>26</v>
      </c>
      <c r="D37">
        <v>997</v>
      </c>
      <c r="E37">
        <v>87</v>
      </c>
      <c r="F37">
        <v>157526</v>
      </c>
      <c r="G37" t="b">
        <v>0</v>
      </c>
    </row>
    <row r="38" spans="1:7" x14ac:dyDescent="0.3">
      <c r="A38" s="1" t="s">
        <v>58</v>
      </c>
      <c r="B38" s="1" t="s">
        <v>19</v>
      </c>
      <c r="C38" s="1" t="s">
        <v>12</v>
      </c>
      <c r="D38">
        <v>998</v>
      </c>
      <c r="E38">
        <v>70</v>
      </c>
      <c r="F38">
        <v>186626</v>
      </c>
      <c r="G38" t="b">
        <v>0</v>
      </c>
    </row>
    <row r="39" spans="1:7" x14ac:dyDescent="0.3">
      <c r="A39" s="1" t="s">
        <v>59</v>
      </c>
      <c r="B39" s="1" t="s">
        <v>19</v>
      </c>
      <c r="C39" s="1" t="s">
        <v>17</v>
      </c>
      <c r="D39">
        <v>785</v>
      </c>
      <c r="E39">
        <v>172</v>
      </c>
      <c r="F39">
        <v>93415</v>
      </c>
      <c r="G39" t="b">
        <v>0</v>
      </c>
    </row>
    <row r="40" spans="1:7" x14ac:dyDescent="0.3">
      <c r="A40" s="1" t="s">
        <v>60</v>
      </c>
      <c r="B40" s="1" t="s">
        <v>8</v>
      </c>
      <c r="C40" s="1" t="s">
        <v>22</v>
      </c>
      <c r="D40">
        <v>297</v>
      </c>
      <c r="E40">
        <v>193</v>
      </c>
      <c r="F40">
        <v>108702</v>
      </c>
      <c r="G40" t="b">
        <v>0</v>
      </c>
    </row>
    <row r="41" spans="1:7" x14ac:dyDescent="0.3">
      <c r="A41" s="1" t="s">
        <v>61</v>
      </c>
      <c r="B41" s="1" t="s">
        <v>30</v>
      </c>
      <c r="C41" s="1" t="s">
        <v>17</v>
      </c>
      <c r="D41">
        <v>131</v>
      </c>
      <c r="E41">
        <v>200</v>
      </c>
      <c r="F41">
        <v>17292</v>
      </c>
      <c r="G41" t="b">
        <v>1</v>
      </c>
    </row>
    <row r="42" spans="1:7" x14ac:dyDescent="0.3">
      <c r="A42" s="1" t="s">
        <v>62</v>
      </c>
      <c r="B42" s="1" t="s">
        <v>16</v>
      </c>
      <c r="C42" s="1" t="s">
        <v>17</v>
      </c>
      <c r="D42">
        <v>705</v>
      </c>
      <c r="E42">
        <v>185</v>
      </c>
      <c r="F42">
        <v>88125</v>
      </c>
      <c r="G42" t="b">
        <v>0</v>
      </c>
    </row>
    <row r="43" spans="1:7" x14ac:dyDescent="0.3">
      <c r="A43" s="1" t="s">
        <v>63</v>
      </c>
      <c r="B43" s="1" t="s">
        <v>16</v>
      </c>
      <c r="C43" s="1" t="s">
        <v>12</v>
      </c>
      <c r="D43">
        <v>122</v>
      </c>
      <c r="E43">
        <v>155</v>
      </c>
      <c r="F43">
        <v>21838</v>
      </c>
      <c r="G43" t="b">
        <v>1</v>
      </c>
    </row>
    <row r="44" spans="1:7" x14ac:dyDescent="0.3">
      <c r="A44" s="1" t="s">
        <v>64</v>
      </c>
      <c r="B44" s="1" t="s">
        <v>24</v>
      </c>
      <c r="C44" s="1" t="s">
        <v>9</v>
      </c>
      <c r="D44">
        <v>717</v>
      </c>
      <c r="E44">
        <v>85</v>
      </c>
      <c r="F44">
        <v>8604</v>
      </c>
      <c r="G44" t="b">
        <v>0</v>
      </c>
    </row>
    <row r="45" spans="1:7" x14ac:dyDescent="0.3">
      <c r="A45" s="1" t="s">
        <v>65</v>
      </c>
      <c r="B45" s="1" t="s">
        <v>30</v>
      </c>
      <c r="C45" s="1" t="s">
        <v>17</v>
      </c>
      <c r="D45">
        <v>436</v>
      </c>
      <c r="E45">
        <v>171</v>
      </c>
      <c r="F45">
        <v>110744</v>
      </c>
      <c r="G45" t="b">
        <v>0</v>
      </c>
    </row>
    <row r="46" spans="1:7" x14ac:dyDescent="0.3">
      <c r="A46" s="1" t="s">
        <v>66</v>
      </c>
      <c r="B46" s="1" t="s">
        <v>19</v>
      </c>
      <c r="C46" s="1" t="s">
        <v>26</v>
      </c>
      <c r="D46">
        <v>348</v>
      </c>
      <c r="E46">
        <v>123</v>
      </c>
      <c r="F46">
        <v>118320</v>
      </c>
      <c r="G46" t="b">
        <v>0</v>
      </c>
    </row>
    <row r="47" spans="1:7" x14ac:dyDescent="0.3">
      <c r="A47" s="1" t="s">
        <v>67</v>
      </c>
      <c r="B47" s="1" t="s">
        <v>24</v>
      </c>
      <c r="C47" s="1" t="s">
        <v>9</v>
      </c>
      <c r="D47">
        <v>687</v>
      </c>
      <c r="E47">
        <v>196</v>
      </c>
      <c r="F47">
        <v>87936</v>
      </c>
      <c r="G47" t="b">
        <v>0</v>
      </c>
    </row>
    <row r="48" spans="1:7" x14ac:dyDescent="0.3">
      <c r="A48" s="1" t="s">
        <v>68</v>
      </c>
      <c r="B48" s="1" t="s">
        <v>16</v>
      </c>
      <c r="C48" s="1" t="s">
        <v>17</v>
      </c>
      <c r="D48">
        <v>955</v>
      </c>
      <c r="E48">
        <v>94</v>
      </c>
      <c r="F48">
        <v>212965</v>
      </c>
      <c r="G48" t="b">
        <v>0</v>
      </c>
    </row>
    <row r="49" spans="1:7" x14ac:dyDescent="0.3">
      <c r="A49" s="1" t="s">
        <v>69</v>
      </c>
      <c r="B49" s="1" t="s">
        <v>16</v>
      </c>
      <c r="C49" s="1" t="s">
        <v>12</v>
      </c>
      <c r="D49">
        <v>876</v>
      </c>
      <c r="E49">
        <v>151</v>
      </c>
      <c r="F49">
        <v>361788</v>
      </c>
      <c r="G49" t="b">
        <v>0</v>
      </c>
    </row>
    <row r="50" spans="1:7" x14ac:dyDescent="0.3">
      <c r="A50" s="1" t="s">
        <v>70</v>
      </c>
      <c r="B50" s="1" t="s">
        <v>30</v>
      </c>
      <c r="C50" s="1" t="s">
        <v>26</v>
      </c>
      <c r="D50">
        <v>979</v>
      </c>
      <c r="E50">
        <v>124</v>
      </c>
      <c r="F50">
        <v>448382</v>
      </c>
      <c r="G50" t="b">
        <v>0</v>
      </c>
    </row>
    <row r="51" spans="1:7" x14ac:dyDescent="0.3">
      <c r="A51" s="1" t="s">
        <v>71</v>
      </c>
      <c r="B51" s="1" t="s">
        <v>16</v>
      </c>
      <c r="C51" s="1" t="s">
        <v>26</v>
      </c>
      <c r="D51">
        <v>325</v>
      </c>
      <c r="E51">
        <v>195</v>
      </c>
      <c r="F51">
        <v>103350</v>
      </c>
      <c r="G51" t="b">
        <v>0</v>
      </c>
    </row>
    <row r="52" spans="1:7" x14ac:dyDescent="0.3">
      <c r="A52" s="1" t="s">
        <v>72</v>
      </c>
      <c r="B52" s="1" t="s">
        <v>11</v>
      </c>
      <c r="C52" s="1" t="s">
        <v>9</v>
      </c>
      <c r="D52">
        <v>311</v>
      </c>
      <c r="E52">
        <v>166</v>
      </c>
      <c r="F52">
        <v>105118</v>
      </c>
      <c r="G52" t="b">
        <v>0</v>
      </c>
    </row>
    <row r="53" spans="1:7" x14ac:dyDescent="0.3">
      <c r="A53" s="1" t="s">
        <v>73</v>
      </c>
      <c r="B53" s="1" t="s">
        <v>8</v>
      </c>
      <c r="C53" s="1" t="s">
        <v>9</v>
      </c>
      <c r="D53">
        <v>525</v>
      </c>
      <c r="E53">
        <v>84</v>
      </c>
      <c r="F53">
        <v>233625</v>
      </c>
      <c r="G53" t="b">
        <v>0</v>
      </c>
    </row>
    <row r="54" spans="1:7" x14ac:dyDescent="0.3">
      <c r="A54" s="1" t="s">
        <v>74</v>
      </c>
      <c r="B54" s="1" t="s">
        <v>33</v>
      </c>
      <c r="C54" s="1" t="s">
        <v>26</v>
      </c>
      <c r="D54">
        <v>299</v>
      </c>
      <c r="E54">
        <v>99</v>
      </c>
      <c r="F54">
        <v>126776</v>
      </c>
      <c r="G54" t="b">
        <v>0</v>
      </c>
    </row>
    <row r="55" spans="1:7" x14ac:dyDescent="0.3">
      <c r="A55" s="1" t="s">
        <v>75</v>
      </c>
      <c r="B55" s="1" t="s">
        <v>11</v>
      </c>
      <c r="C55" s="1" t="s">
        <v>22</v>
      </c>
      <c r="D55">
        <v>186</v>
      </c>
      <c r="E55">
        <v>167</v>
      </c>
      <c r="F55">
        <v>63426</v>
      </c>
      <c r="G55" t="b">
        <v>0</v>
      </c>
    </row>
    <row r="56" spans="1:7" x14ac:dyDescent="0.3">
      <c r="A56" s="1" t="s">
        <v>76</v>
      </c>
      <c r="B56" s="1" t="s">
        <v>30</v>
      </c>
      <c r="C56" s="1" t="s">
        <v>22</v>
      </c>
      <c r="D56">
        <v>34</v>
      </c>
      <c r="E56">
        <v>136</v>
      </c>
      <c r="F56">
        <v>14076</v>
      </c>
      <c r="G56" t="b">
        <v>1</v>
      </c>
    </row>
    <row r="57" spans="1:7" x14ac:dyDescent="0.3">
      <c r="A57" s="1" t="s">
        <v>77</v>
      </c>
      <c r="B57" s="1" t="s">
        <v>14</v>
      </c>
      <c r="C57" s="1" t="s">
        <v>9</v>
      </c>
      <c r="D57">
        <v>710</v>
      </c>
      <c r="E57">
        <v>99</v>
      </c>
      <c r="F57">
        <v>70290</v>
      </c>
      <c r="G57" t="b">
        <v>0</v>
      </c>
    </row>
    <row r="58" spans="1:7" x14ac:dyDescent="0.3">
      <c r="A58" s="1" t="s">
        <v>78</v>
      </c>
      <c r="B58" s="1" t="s">
        <v>28</v>
      </c>
      <c r="C58" s="1" t="s">
        <v>22</v>
      </c>
      <c r="D58">
        <v>866</v>
      </c>
      <c r="E58">
        <v>159</v>
      </c>
      <c r="F58">
        <v>236418</v>
      </c>
      <c r="G58" t="b">
        <v>0</v>
      </c>
    </row>
    <row r="59" spans="1:7" x14ac:dyDescent="0.3">
      <c r="A59" s="1" t="s">
        <v>79</v>
      </c>
      <c r="B59" s="1" t="s">
        <v>24</v>
      </c>
      <c r="C59" s="1" t="s">
        <v>17</v>
      </c>
      <c r="D59">
        <v>430</v>
      </c>
      <c r="E59">
        <v>74</v>
      </c>
      <c r="F59">
        <v>44720</v>
      </c>
      <c r="G59" t="b">
        <v>0</v>
      </c>
    </row>
    <row r="60" spans="1:7" x14ac:dyDescent="0.3">
      <c r="A60" s="1" t="s">
        <v>80</v>
      </c>
      <c r="B60" s="1" t="s">
        <v>33</v>
      </c>
      <c r="C60" s="1" t="s">
        <v>22</v>
      </c>
      <c r="D60">
        <v>351</v>
      </c>
      <c r="E60">
        <v>113</v>
      </c>
      <c r="F60">
        <v>4563</v>
      </c>
      <c r="G60" t="b">
        <v>0</v>
      </c>
    </row>
    <row r="61" spans="1:7" x14ac:dyDescent="0.3">
      <c r="A61" s="1" t="s">
        <v>81</v>
      </c>
      <c r="B61" s="1" t="s">
        <v>28</v>
      </c>
      <c r="C61" s="1" t="s">
        <v>22</v>
      </c>
      <c r="D61">
        <v>261</v>
      </c>
      <c r="E61">
        <v>164</v>
      </c>
      <c r="F61">
        <v>103095</v>
      </c>
      <c r="G61" t="b">
        <v>0</v>
      </c>
    </row>
    <row r="62" spans="1:7" x14ac:dyDescent="0.3">
      <c r="A62" s="1" t="s">
        <v>82</v>
      </c>
      <c r="B62" s="1" t="s">
        <v>11</v>
      </c>
      <c r="C62" s="1" t="s">
        <v>9</v>
      </c>
      <c r="D62">
        <v>329</v>
      </c>
      <c r="E62">
        <v>199</v>
      </c>
      <c r="F62">
        <v>125020</v>
      </c>
      <c r="G62" t="b">
        <v>0</v>
      </c>
    </row>
    <row r="63" spans="1:7" x14ac:dyDescent="0.3">
      <c r="A63" s="1" t="s">
        <v>83</v>
      </c>
      <c r="B63" s="1" t="s">
        <v>16</v>
      </c>
      <c r="C63" s="1" t="s">
        <v>17</v>
      </c>
      <c r="D63">
        <v>287</v>
      </c>
      <c r="E63">
        <v>142</v>
      </c>
      <c r="F63">
        <v>104468</v>
      </c>
      <c r="G63" t="b">
        <v>0</v>
      </c>
    </row>
    <row r="64" spans="1:7" x14ac:dyDescent="0.3">
      <c r="A64" s="1" t="s">
        <v>84</v>
      </c>
      <c r="B64" s="1" t="s">
        <v>16</v>
      </c>
      <c r="C64" s="1" t="s">
        <v>22</v>
      </c>
      <c r="D64">
        <v>703</v>
      </c>
      <c r="E64">
        <v>80</v>
      </c>
      <c r="F64">
        <v>174344</v>
      </c>
      <c r="G64" t="b">
        <v>0</v>
      </c>
    </row>
    <row r="65" spans="1:7" x14ac:dyDescent="0.3">
      <c r="A65" s="1" t="s">
        <v>85</v>
      </c>
      <c r="B65" s="1" t="s">
        <v>30</v>
      </c>
      <c r="C65" s="1" t="s">
        <v>22</v>
      </c>
      <c r="D65">
        <v>435</v>
      </c>
      <c r="E65">
        <v>178</v>
      </c>
      <c r="F65">
        <v>209670</v>
      </c>
      <c r="G65" t="b">
        <v>0</v>
      </c>
    </row>
    <row r="66" spans="1:7" x14ac:dyDescent="0.3">
      <c r="A66" s="1" t="s">
        <v>86</v>
      </c>
      <c r="B66" s="1" t="s">
        <v>24</v>
      </c>
      <c r="C66" s="1" t="s">
        <v>9</v>
      </c>
      <c r="D66">
        <v>674</v>
      </c>
      <c r="E66">
        <v>125</v>
      </c>
      <c r="F66">
        <v>133452</v>
      </c>
      <c r="G66" t="b">
        <v>0</v>
      </c>
    </row>
    <row r="67" spans="1:7" x14ac:dyDescent="0.3">
      <c r="A67" s="1" t="s">
        <v>87</v>
      </c>
      <c r="B67" s="1" t="s">
        <v>46</v>
      </c>
      <c r="C67" s="1" t="s">
        <v>17</v>
      </c>
      <c r="D67">
        <v>244</v>
      </c>
      <c r="E67">
        <v>84</v>
      </c>
      <c r="F67">
        <v>61976</v>
      </c>
      <c r="G67" t="b">
        <v>0</v>
      </c>
    </row>
    <row r="68" spans="1:7" x14ac:dyDescent="0.3">
      <c r="A68" s="1" t="s">
        <v>88</v>
      </c>
      <c r="B68" s="1" t="s">
        <v>33</v>
      </c>
      <c r="C68" s="1" t="s">
        <v>9</v>
      </c>
      <c r="D68">
        <v>785</v>
      </c>
      <c r="E68">
        <v>145</v>
      </c>
      <c r="F68">
        <v>174270</v>
      </c>
      <c r="G68" t="b">
        <v>0</v>
      </c>
    </row>
    <row r="69" spans="1:7" x14ac:dyDescent="0.3">
      <c r="A69" s="1" t="s">
        <v>89</v>
      </c>
      <c r="B69" s="1" t="s">
        <v>33</v>
      </c>
      <c r="C69" s="1" t="s">
        <v>17</v>
      </c>
      <c r="D69">
        <v>795</v>
      </c>
      <c r="E69">
        <v>187</v>
      </c>
      <c r="F69">
        <v>333900</v>
      </c>
      <c r="G69" t="b">
        <v>0</v>
      </c>
    </row>
    <row r="70" spans="1:7" x14ac:dyDescent="0.3">
      <c r="A70" s="1" t="s">
        <v>90</v>
      </c>
      <c r="B70" s="1" t="s">
        <v>46</v>
      </c>
      <c r="C70" s="1" t="s">
        <v>12</v>
      </c>
      <c r="D70">
        <v>716</v>
      </c>
      <c r="E70">
        <v>70</v>
      </c>
      <c r="F70">
        <v>199764</v>
      </c>
      <c r="G70" t="b">
        <v>0</v>
      </c>
    </row>
    <row r="71" spans="1:7" x14ac:dyDescent="0.3">
      <c r="A71" s="1" t="s">
        <v>91</v>
      </c>
      <c r="B71" s="1" t="s">
        <v>8</v>
      </c>
      <c r="C71" s="1" t="s">
        <v>9</v>
      </c>
      <c r="D71">
        <v>740</v>
      </c>
      <c r="E71">
        <v>142</v>
      </c>
      <c r="F71">
        <v>36260</v>
      </c>
      <c r="G71" t="b">
        <v>0</v>
      </c>
    </row>
    <row r="72" spans="1:7" x14ac:dyDescent="0.3">
      <c r="A72" s="1" t="s">
        <v>92</v>
      </c>
      <c r="B72" s="1" t="s">
        <v>24</v>
      </c>
      <c r="C72" s="1" t="s">
        <v>9</v>
      </c>
      <c r="D72">
        <v>83</v>
      </c>
      <c r="E72">
        <v>190</v>
      </c>
      <c r="F72">
        <v>39176</v>
      </c>
      <c r="G72" t="b">
        <v>1</v>
      </c>
    </row>
    <row r="73" spans="1:7" x14ac:dyDescent="0.3">
      <c r="A73" s="1" t="s">
        <v>93</v>
      </c>
      <c r="B73" s="1" t="s">
        <v>46</v>
      </c>
      <c r="C73" s="1" t="s">
        <v>17</v>
      </c>
      <c r="D73">
        <v>606</v>
      </c>
      <c r="E73">
        <v>187</v>
      </c>
      <c r="F73">
        <v>52116</v>
      </c>
      <c r="G73" t="b">
        <v>0</v>
      </c>
    </row>
    <row r="74" spans="1:7" x14ac:dyDescent="0.3">
      <c r="A74" s="1" t="s">
        <v>94</v>
      </c>
      <c r="B74" s="1" t="s">
        <v>11</v>
      </c>
      <c r="C74" s="1" t="s">
        <v>26</v>
      </c>
      <c r="D74">
        <v>894</v>
      </c>
      <c r="E74">
        <v>183</v>
      </c>
      <c r="F74">
        <v>210984</v>
      </c>
      <c r="G74" t="b">
        <v>0</v>
      </c>
    </row>
    <row r="75" spans="1:7" x14ac:dyDescent="0.3">
      <c r="A75" s="1" t="s">
        <v>95</v>
      </c>
      <c r="B75" s="1" t="s">
        <v>46</v>
      </c>
      <c r="C75" s="1" t="s">
        <v>26</v>
      </c>
      <c r="D75">
        <v>754</v>
      </c>
      <c r="E75">
        <v>199</v>
      </c>
      <c r="F75">
        <v>196040</v>
      </c>
      <c r="G75" t="b">
        <v>0</v>
      </c>
    </row>
    <row r="76" spans="1:7" x14ac:dyDescent="0.3">
      <c r="A76" s="1" t="s">
        <v>96</v>
      </c>
      <c r="B76" s="1" t="s">
        <v>8</v>
      </c>
      <c r="C76" s="1" t="s">
        <v>17</v>
      </c>
      <c r="D76">
        <v>476</v>
      </c>
      <c r="E76">
        <v>64</v>
      </c>
      <c r="F76">
        <v>115192</v>
      </c>
      <c r="G76" t="b">
        <v>0</v>
      </c>
    </row>
    <row r="77" spans="1:7" x14ac:dyDescent="0.3">
      <c r="A77" s="1" t="s">
        <v>97</v>
      </c>
      <c r="B77" s="1" t="s">
        <v>8</v>
      </c>
      <c r="C77" s="1" t="s">
        <v>26</v>
      </c>
      <c r="D77">
        <v>445</v>
      </c>
      <c r="E77">
        <v>166</v>
      </c>
      <c r="F77">
        <v>132610</v>
      </c>
      <c r="G77" t="b">
        <v>0</v>
      </c>
    </row>
    <row r="78" spans="1:7" x14ac:dyDescent="0.3">
      <c r="A78" s="1" t="s">
        <v>98</v>
      </c>
      <c r="B78" s="1" t="s">
        <v>8</v>
      </c>
      <c r="C78" s="1" t="s">
        <v>26</v>
      </c>
      <c r="D78">
        <v>493</v>
      </c>
      <c r="E78">
        <v>128</v>
      </c>
      <c r="F78">
        <v>187340</v>
      </c>
      <c r="G78" t="b">
        <v>0</v>
      </c>
    </row>
    <row r="79" spans="1:7" x14ac:dyDescent="0.3">
      <c r="A79" s="1" t="s">
        <v>99</v>
      </c>
      <c r="B79" s="1" t="s">
        <v>28</v>
      </c>
      <c r="C79" s="1" t="s">
        <v>17</v>
      </c>
      <c r="D79">
        <v>280</v>
      </c>
      <c r="E79">
        <v>50</v>
      </c>
      <c r="F79">
        <v>109480</v>
      </c>
      <c r="G79" t="b">
        <v>0</v>
      </c>
    </row>
    <row r="80" spans="1:7" x14ac:dyDescent="0.3">
      <c r="A80" s="1" t="s">
        <v>100</v>
      </c>
      <c r="B80" s="1" t="s">
        <v>14</v>
      </c>
      <c r="C80" s="1" t="s">
        <v>22</v>
      </c>
      <c r="D80">
        <v>94</v>
      </c>
      <c r="E80">
        <v>61</v>
      </c>
      <c r="F80">
        <v>21244</v>
      </c>
      <c r="G80" t="b">
        <v>0</v>
      </c>
    </row>
    <row r="81" spans="1:7" x14ac:dyDescent="0.3">
      <c r="A81" s="1" t="s">
        <v>101</v>
      </c>
      <c r="B81" s="1" t="s">
        <v>24</v>
      </c>
      <c r="C81" s="1" t="s">
        <v>26</v>
      </c>
      <c r="D81">
        <v>574</v>
      </c>
      <c r="E81">
        <v>65</v>
      </c>
      <c r="F81">
        <v>280112</v>
      </c>
      <c r="G81" t="b">
        <v>0</v>
      </c>
    </row>
    <row r="82" spans="1:7" x14ac:dyDescent="0.3">
      <c r="A82" s="1" t="s">
        <v>102</v>
      </c>
      <c r="B82" s="1" t="s">
        <v>33</v>
      </c>
      <c r="C82" s="1" t="s">
        <v>17</v>
      </c>
      <c r="D82">
        <v>52</v>
      </c>
      <c r="E82">
        <v>123</v>
      </c>
      <c r="F82">
        <v>11388</v>
      </c>
      <c r="G82" t="b">
        <v>1</v>
      </c>
    </row>
    <row r="83" spans="1:7" x14ac:dyDescent="0.3">
      <c r="A83" s="1" t="s">
        <v>103</v>
      </c>
      <c r="B83" s="1" t="s">
        <v>30</v>
      </c>
      <c r="C83" s="1" t="s">
        <v>12</v>
      </c>
      <c r="D83">
        <v>804</v>
      </c>
      <c r="E83">
        <v>157</v>
      </c>
      <c r="F83">
        <v>161604</v>
      </c>
      <c r="G83" t="b">
        <v>0</v>
      </c>
    </row>
    <row r="84" spans="1:7" x14ac:dyDescent="0.3">
      <c r="A84" s="1" t="s">
        <v>104</v>
      </c>
      <c r="B84" s="1" t="s">
        <v>33</v>
      </c>
      <c r="C84" s="1" t="s">
        <v>26</v>
      </c>
      <c r="D84">
        <v>910</v>
      </c>
      <c r="E84">
        <v>146</v>
      </c>
      <c r="F84">
        <v>183820</v>
      </c>
      <c r="G84" t="b">
        <v>0</v>
      </c>
    </row>
    <row r="85" spans="1:7" x14ac:dyDescent="0.3">
      <c r="A85" s="1" t="s">
        <v>105</v>
      </c>
      <c r="B85" s="1" t="s">
        <v>8</v>
      </c>
      <c r="C85" s="1" t="s">
        <v>17</v>
      </c>
      <c r="D85">
        <v>156</v>
      </c>
      <c r="E85">
        <v>139</v>
      </c>
      <c r="F85">
        <v>10920</v>
      </c>
      <c r="G85" t="b">
        <v>0</v>
      </c>
    </row>
    <row r="86" spans="1:7" x14ac:dyDescent="0.3">
      <c r="A86" s="1" t="s">
        <v>106</v>
      </c>
      <c r="B86" s="1" t="s">
        <v>8</v>
      </c>
      <c r="C86" s="1" t="s">
        <v>17</v>
      </c>
      <c r="D86">
        <v>422</v>
      </c>
      <c r="E86">
        <v>185</v>
      </c>
      <c r="F86">
        <v>31650</v>
      </c>
      <c r="G86" t="b">
        <v>0</v>
      </c>
    </row>
    <row r="87" spans="1:7" x14ac:dyDescent="0.3">
      <c r="A87" s="1" t="s">
        <v>107</v>
      </c>
      <c r="B87" s="1" t="s">
        <v>16</v>
      </c>
      <c r="C87" s="1" t="s">
        <v>12</v>
      </c>
      <c r="D87">
        <v>794</v>
      </c>
      <c r="E87">
        <v>55</v>
      </c>
      <c r="F87">
        <v>128628</v>
      </c>
      <c r="G87" t="b">
        <v>0</v>
      </c>
    </row>
    <row r="88" spans="1:7" x14ac:dyDescent="0.3">
      <c r="A88" s="1" t="s">
        <v>108</v>
      </c>
      <c r="B88" s="1" t="s">
        <v>8</v>
      </c>
      <c r="C88" s="1" t="s">
        <v>17</v>
      </c>
      <c r="D88">
        <v>454</v>
      </c>
      <c r="E88">
        <v>186</v>
      </c>
      <c r="F88">
        <v>92616</v>
      </c>
      <c r="G88" t="b">
        <v>0</v>
      </c>
    </row>
    <row r="89" spans="1:7" x14ac:dyDescent="0.3">
      <c r="A89" s="1" t="s">
        <v>109</v>
      </c>
      <c r="B89" s="1" t="s">
        <v>46</v>
      </c>
      <c r="C89" s="1" t="s">
        <v>22</v>
      </c>
      <c r="D89">
        <v>491</v>
      </c>
      <c r="E89">
        <v>138</v>
      </c>
      <c r="F89">
        <v>43699</v>
      </c>
      <c r="G89" t="b">
        <v>0</v>
      </c>
    </row>
    <row r="90" spans="1:7" x14ac:dyDescent="0.3">
      <c r="A90" s="1" t="s">
        <v>110</v>
      </c>
      <c r="B90" s="1" t="s">
        <v>46</v>
      </c>
      <c r="C90" s="1" t="s">
        <v>12</v>
      </c>
      <c r="D90">
        <v>979</v>
      </c>
      <c r="E90">
        <v>78</v>
      </c>
      <c r="F90">
        <v>25454</v>
      </c>
      <c r="G90" t="b">
        <v>0</v>
      </c>
    </row>
    <row r="91" spans="1:7" x14ac:dyDescent="0.3">
      <c r="A91" s="1" t="s">
        <v>111</v>
      </c>
      <c r="B91" s="1" t="s">
        <v>14</v>
      </c>
      <c r="C91" s="1" t="s">
        <v>17</v>
      </c>
      <c r="D91">
        <v>804</v>
      </c>
      <c r="E91">
        <v>54</v>
      </c>
      <c r="F91">
        <v>106932</v>
      </c>
      <c r="G91" t="b">
        <v>0</v>
      </c>
    </row>
    <row r="92" spans="1:7" x14ac:dyDescent="0.3">
      <c r="A92" s="1" t="s">
        <v>112</v>
      </c>
      <c r="B92" s="1" t="s">
        <v>24</v>
      </c>
      <c r="C92" s="1" t="s">
        <v>9</v>
      </c>
      <c r="D92">
        <v>123</v>
      </c>
      <c r="E92">
        <v>58</v>
      </c>
      <c r="F92">
        <v>29274</v>
      </c>
      <c r="G92" t="b">
        <v>0</v>
      </c>
    </row>
    <row r="93" spans="1:7" x14ac:dyDescent="0.3">
      <c r="A93" s="1" t="s">
        <v>113</v>
      </c>
      <c r="B93" s="1" t="s">
        <v>16</v>
      </c>
      <c r="C93" s="1" t="s">
        <v>12</v>
      </c>
      <c r="D93">
        <v>270</v>
      </c>
      <c r="E93">
        <v>61</v>
      </c>
      <c r="F93">
        <v>58050</v>
      </c>
      <c r="G93" t="b">
        <v>0</v>
      </c>
    </row>
    <row r="94" spans="1:7" x14ac:dyDescent="0.3">
      <c r="A94" s="1" t="s">
        <v>114</v>
      </c>
      <c r="B94" s="1" t="s">
        <v>46</v>
      </c>
      <c r="C94" s="1" t="s">
        <v>26</v>
      </c>
      <c r="D94">
        <v>572</v>
      </c>
      <c r="E94">
        <v>105</v>
      </c>
      <c r="F94">
        <v>226512</v>
      </c>
      <c r="G94" t="b">
        <v>0</v>
      </c>
    </row>
    <row r="95" spans="1:7" x14ac:dyDescent="0.3">
      <c r="A95" s="1" t="s">
        <v>115</v>
      </c>
      <c r="B95" s="1" t="s">
        <v>30</v>
      </c>
      <c r="C95" s="1" t="s">
        <v>9</v>
      </c>
      <c r="D95">
        <v>535</v>
      </c>
      <c r="E95">
        <v>124</v>
      </c>
      <c r="F95">
        <v>69015</v>
      </c>
      <c r="G95" t="b">
        <v>0</v>
      </c>
    </row>
    <row r="96" spans="1:7" x14ac:dyDescent="0.3">
      <c r="A96" s="1" t="s">
        <v>116</v>
      </c>
      <c r="B96" s="1" t="s">
        <v>11</v>
      </c>
      <c r="C96" s="1" t="s">
        <v>22</v>
      </c>
      <c r="D96">
        <v>611</v>
      </c>
      <c r="E96">
        <v>132</v>
      </c>
      <c r="F96">
        <v>80041</v>
      </c>
      <c r="G96" t="b">
        <v>0</v>
      </c>
    </row>
    <row r="97" spans="1:7" x14ac:dyDescent="0.3">
      <c r="A97" s="1" t="s">
        <v>117</v>
      </c>
      <c r="B97" s="1" t="s">
        <v>30</v>
      </c>
      <c r="C97" s="1" t="s">
        <v>12</v>
      </c>
      <c r="D97">
        <v>696</v>
      </c>
      <c r="E97">
        <v>183</v>
      </c>
      <c r="F97">
        <v>85608</v>
      </c>
      <c r="G97" t="b">
        <v>0</v>
      </c>
    </row>
    <row r="98" spans="1:7" x14ac:dyDescent="0.3">
      <c r="A98" s="1" t="s">
        <v>118</v>
      </c>
      <c r="B98" s="1" t="s">
        <v>19</v>
      </c>
      <c r="C98" s="1" t="s">
        <v>9</v>
      </c>
      <c r="D98">
        <v>301</v>
      </c>
      <c r="E98">
        <v>65</v>
      </c>
      <c r="F98">
        <v>88795</v>
      </c>
      <c r="G98" t="b">
        <v>0</v>
      </c>
    </row>
    <row r="99" spans="1:7" x14ac:dyDescent="0.3">
      <c r="A99" s="1" t="s">
        <v>119</v>
      </c>
      <c r="B99" s="1" t="s">
        <v>30</v>
      </c>
      <c r="C99" s="1" t="s">
        <v>12</v>
      </c>
      <c r="D99">
        <v>661</v>
      </c>
      <c r="E99">
        <v>159</v>
      </c>
      <c r="F99">
        <v>194334</v>
      </c>
      <c r="G99" t="b">
        <v>0</v>
      </c>
    </row>
    <row r="100" spans="1:7" x14ac:dyDescent="0.3">
      <c r="A100" s="1" t="s">
        <v>120</v>
      </c>
      <c r="B100" s="1" t="s">
        <v>16</v>
      </c>
      <c r="C100" s="1" t="s">
        <v>9</v>
      </c>
      <c r="D100">
        <v>372</v>
      </c>
      <c r="E100">
        <v>147</v>
      </c>
      <c r="F100">
        <v>153264</v>
      </c>
      <c r="G100" t="b">
        <v>0</v>
      </c>
    </row>
    <row r="101" spans="1:7" x14ac:dyDescent="0.3">
      <c r="A101" s="1" t="s">
        <v>121</v>
      </c>
      <c r="B101" s="1" t="s">
        <v>11</v>
      </c>
      <c r="C101" s="1" t="s">
        <v>17</v>
      </c>
      <c r="D101">
        <v>733</v>
      </c>
      <c r="E101">
        <v>156</v>
      </c>
      <c r="F101">
        <v>160527</v>
      </c>
      <c r="G101" t="b">
        <v>0</v>
      </c>
    </row>
    <row r="102" spans="1:7" x14ac:dyDescent="0.3">
      <c r="A102" s="1" t="s">
        <v>122</v>
      </c>
      <c r="B102" s="1" t="s">
        <v>19</v>
      </c>
      <c r="C102" s="1" t="s">
        <v>9</v>
      </c>
      <c r="D102">
        <v>405</v>
      </c>
      <c r="E102">
        <v>97</v>
      </c>
      <c r="F102">
        <v>160380</v>
      </c>
      <c r="G102" t="b">
        <v>0</v>
      </c>
    </row>
    <row r="103" spans="1:7" x14ac:dyDescent="0.3">
      <c r="A103" s="1" t="s">
        <v>123</v>
      </c>
      <c r="B103" s="1" t="s">
        <v>33</v>
      </c>
      <c r="C103" s="1" t="s">
        <v>17</v>
      </c>
      <c r="D103">
        <v>266</v>
      </c>
      <c r="E103">
        <v>107</v>
      </c>
      <c r="F103">
        <v>43358</v>
      </c>
      <c r="G103" t="b">
        <v>0</v>
      </c>
    </row>
    <row r="104" spans="1:7" x14ac:dyDescent="0.3">
      <c r="A104" s="1" t="s">
        <v>124</v>
      </c>
      <c r="B104" s="1" t="s">
        <v>33</v>
      </c>
      <c r="C104" s="1" t="s">
        <v>12</v>
      </c>
      <c r="D104">
        <v>956</v>
      </c>
      <c r="E104">
        <v>64</v>
      </c>
      <c r="F104">
        <v>283932</v>
      </c>
      <c r="G104" t="b">
        <v>0</v>
      </c>
    </row>
    <row r="105" spans="1:7" x14ac:dyDescent="0.3">
      <c r="A105" s="1" t="s">
        <v>125</v>
      </c>
      <c r="B105" s="1" t="s">
        <v>28</v>
      </c>
      <c r="C105" s="1" t="s">
        <v>12</v>
      </c>
      <c r="D105">
        <v>590</v>
      </c>
      <c r="E105">
        <v>185</v>
      </c>
      <c r="F105">
        <v>46020</v>
      </c>
      <c r="G105" t="b">
        <v>0</v>
      </c>
    </row>
    <row r="106" spans="1:7" x14ac:dyDescent="0.3">
      <c r="A106" s="1" t="s">
        <v>126</v>
      </c>
      <c r="B106" s="1" t="s">
        <v>46</v>
      </c>
      <c r="C106" s="1" t="s">
        <v>26</v>
      </c>
      <c r="D106">
        <v>281</v>
      </c>
      <c r="E106">
        <v>102</v>
      </c>
      <c r="F106">
        <v>50299</v>
      </c>
      <c r="G106" t="b">
        <v>0</v>
      </c>
    </row>
    <row r="107" spans="1:7" x14ac:dyDescent="0.3">
      <c r="A107" s="1" t="s">
        <v>127</v>
      </c>
      <c r="B107" s="1" t="s">
        <v>33</v>
      </c>
      <c r="C107" s="1" t="s">
        <v>9</v>
      </c>
      <c r="D107">
        <v>887</v>
      </c>
      <c r="E107">
        <v>144</v>
      </c>
      <c r="F107">
        <v>50559</v>
      </c>
      <c r="G107" t="b">
        <v>0</v>
      </c>
    </row>
    <row r="108" spans="1:7" x14ac:dyDescent="0.3">
      <c r="A108" s="1" t="s">
        <v>128</v>
      </c>
      <c r="B108" s="1" t="s">
        <v>46</v>
      </c>
      <c r="C108" s="1" t="s">
        <v>9</v>
      </c>
      <c r="D108">
        <v>72</v>
      </c>
      <c r="E108">
        <v>118</v>
      </c>
      <c r="F108">
        <v>14616</v>
      </c>
      <c r="G108" t="b">
        <v>1</v>
      </c>
    </row>
    <row r="109" spans="1:7" x14ac:dyDescent="0.3">
      <c r="A109" s="1" t="s">
        <v>129</v>
      </c>
      <c r="B109" s="1" t="s">
        <v>14</v>
      </c>
      <c r="C109" s="1" t="s">
        <v>9</v>
      </c>
      <c r="D109">
        <v>60</v>
      </c>
      <c r="E109">
        <v>68</v>
      </c>
      <c r="F109">
        <v>6360</v>
      </c>
      <c r="G109" t="b">
        <v>1</v>
      </c>
    </row>
    <row r="110" spans="1:7" x14ac:dyDescent="0.3">
      <c r="A110" s="1" t="s">
        <v>130</v>
      </c>
      <c r="B110" s="1" t="s">
        <v>8</v>
      </c>
      <c r="C110" s="1" t="s">
        <v>22</v>
      </c>
      <c r="D110">
        <v>242</v>
      </c>
      <c r="E110">
        <v>172</v>
      </c>
      <c r="F110">
        <v>28072</v>
      </c>
      <c r="G110" t="b">
        <v>0</v>
      </c>
    </row>
    <row r="111" spans="1:7" x14ac:dyDescent="0.3">
      <c r="A111" s="1" t="s">
        <v>131</v>
      </c>
      <c r="B111" s="1" t="s">
        <v>19</v>
      </c>
      <c r="C111" s="1" t="s">
        <v>17</v>
      </c>
      <c r="D111">
        <v>999</v>
      </c>
      <c r="E111">
        <v>53</v>
      </c>
      <c r="F111">
        <v>117882</v>
      </c>
      <c r="G111" t="b">
        <v>0</v>
      </c>
    </row>
    <row r="112" spans="1:7" x14ac:dyDescent="0.3">
      <c r="A112" s="1" t="s">
        <v>132</v>
      </c>
      <c r="B112" s="1" t="s">
        <v>24</v>
      </c>
      <c r="C112" s="1" t="s">
        <v>17</v>
      </c>
      <c r="D112">
        <v>784</v>
      </c>
      <c r="E112">
        <v>172</v>
      </c>
      <c r="F112">
        <v>374752</v>
      </c>
      <c r="G112" t="b">
        <v>0</v>
      </c>
    </row>
    <row r="113" spans="1:7" x14ac:dyDescent="0.3">
      <c r="A113" s="1" t="s">
        <v>133</v>
      </c>
      <c r="B113" s="1" t="s">
        <v>14</v>
      </c>
      <c r="C113" s="1" t="s">
        <v>17</v>
      </c>
      <c r="D113">
        <v>740</v>
      </c>
      <c r="E113">
        <v>102</v>
      </c>
      <c r="F113">
        <v>157620</v>
      </c>
      <c r="G113" t="b">
        <v>0</v>
      </c>
    </row>
    <row r="114" spans="1:7" x14ac:dyDescent="0.3">
      <c r="A114" s="1" t="s">
        <v>134</v>
      </c>
      <c r="B114" s="1" t="s">
        <v>8</v>
      </c>
      <c r="C114" s="1" t="s">
        <v>12</v>
      </c>
      <c r="D114">
        <v>349</v>
      </c>
      <c r="E114">
        <v>122</v>
      </c>
      <c r="F114">
        <v>71196</v>
      </c>
      <c r="G114" t="b">
        <v>0</v>
      </c>
    </row>
    <row r="115" spans="1:7" x14ac:dyDescent="0.3">
      <c r="A115" s="1" t="s">
        <v>135</v>
      </c>
      <c r="B115" s="1" t="s">
        <v>8</v>
      </c>
      <c r="C115" s="1" t="s">
        <v>22</v>
      </c>
      <c r="D115">
        <v>684</v>
      </c>
      <c r="E115">
        <v>141</v>
      </c>
      <c r="F115">
        <v>114228</v>
      </c>
      <c r="G115" t="b">
        <v>0</v>
      </c>
    </row>
    <row r="116" spans="1:7" x14ac:dyDescent="0.3">
      <c r="A116" s="1" t="s">
        <v>136</v>
      </c>
      <c r="B116" s="1" t="s">
        <v>11</v>
      </c>
      <c r="C116" s="1" t="s">
        <v>26</v>
      </c>
      <c r="D116">
        <v>545</v>
      </c>
      <c r="E116">
        <v>177</v>
      </c>
      <c r="F116">
        <v>135160</v>
      </c>
      <c r="G116" t="b">
        <v>0</v>
      </c>
    </row>
    <row r="117" spans="1:7" x14ac:dyDescent="0.3">
      <c r="A117" s="1" t="s">
        <v>137</v>
      </c>
      <c r="B117" s="1" t="s">
        <v>33</v>
      </c>
      <c r="C117" s="1" t="s">
        <v>17</v>
      </c>
      <c r="D117">
        <v>799</v>
      </c>
      <c r="E117">
        <v>131</v>
      </c>
      <c r="F117">
        <v>381922</v>
      </c>
      <c r="G117" t="b">
        <v>0</v>
      </c>
    </row>
    <row r="118" spans="1:7" x14ac:dyDescent="0.3">
      <c r="A118" s="1" t="s">
        <v>138</v>
      </c>
      <c r="B118" s="1" t="s">
        <v>11</v>
      </c>
      <c r="C118" s="1" t="s">
        <v>9</v>
      </c>
      <c r="D118">
        <v>340</v>
      </c>
      <c r="E118">
        <v>155</v>
      </c>
      <c r="F118">
        <v>11220</v>
      </c>
      <c r="G118" t="b">
        <v>0</v>
      </c>
    </row>
    <row r="119" spans="1:7" x14ac:dyDescent="0.3">
      <c r="A119" s="1" t="s">
        <v>139</v>
      </c>
      <c r="B119" s="1" t="s">
        <v>46</v>
      </c>
      <c r="C119" s="1" t="s">
        <v>22</v>
      </c>
      <c r="D119">
        <v>779</v>
      </c>
      <c r="E119">
        <v>87</v>
      </c>
      <c r="F119">
        <v>14022</v>
      </c>
      <c r="G119" t="b">
        <v>0</v>
      </c>
    </row>
    <row r="120" spans="1:7" x14ac:dyDescent="0.3">
      <c r="A120" s="1" t="s">
        <v>140</v>
      </c>
      <c r="B120" s="1" t="s">
        <v>8</v>
      </c>
      <c r="C120" s="1" t="s">
        <v>12</v>
      </c>
      <c r="D120">
        <v>977</v>
      </c>
      <c r="E120">
        <v>199</v>
      </c>
      <c r="F120">
        <v>298962</v>
      </c>
      <c r="G120" t="b">
        <v>0</v>
      </c>
    </row>
    <row r="121" spans="1:7" x14ac:dyDescent="0.3">
      <c r="A121" s="1" t="s">
        <v>141</v>
      </c>
      <c r="B121" s="1" t="s">
        <v>19</v>
      </c>
      <c r="C121" s="1" t="s">
        <v>17</v>
      </c>
      <c r="D121">
        <v>176</v>
      </c>
      <c r="E121">
        <v>100</v>
      </c>
      <c r="F121">
        <v>31328</v>
      </c>
      <c r="G121" t="b">
        <v>0</v>
      </c>
    </row>
    <row r="122" spans="1:7" x14ac:dyDescent="0.3">
      <c r="A122" s="1" t="s">
        <v>142</v>
      </c>
      <c r="B122" s="1" t="s">
        <v>28</v>
      </c>
      <c r="C122" s="1" t="s">
        <v>9</v>
      </c>
      <c r="D122">
        <v>603</v>
      </c>
      <c r="E122">
        <v>112</v>
      </c>
      <c r="F122">
        <v>159795</v>
      </c>
      <c r="G122" t="b">
        <v>0</v>
      </c>
    </row>
    <row r="123" spans="1:7" x14ac:dyDescent="0.3">
      <c r="A123" s="1" t="s">
        <v>143</v>
      </c>
      <c r="B123" s="1" t="s">
        <v>11</v>
      </c>
      <c r="C123" s="1" t="s">
        <v>12</v>
      </c>
      <c r="D123">
        <v>283</v>
      </c>
      <c r="E123">
        <v>175</v>
      </c>
      <c r="F123">
        <v>107540</v>
      </c>
      <c r="G123" t="b">
        <v>0</v>
      </c>
    </row>
    <row r="124" spans="1:7" x14ac:dyDescent="0.3">
      <c r="A124" s="1" t="s">
        <v>144</v>
      </c>
      <c r="B124" s="1" t="s">
        <v>33</v>
      </c>
      <c r="C124" s="1" t="s">
        <v>17</v>
      </c>
      <c r="D124">
        <v>192</v>
      </c>
      <c r="E124">
        <v>140</v>
      </c>
      <c r="F124">
        <v>18432</v>
      </c>
      <c r="G124" t="b">
        <v>0</v>
      </c>
    </row>
    <row r="125" spans="1:7" x14ac:dyDescent="0.3">
      <c r="A125" s="1" t="s">
        <v>145</v>
      </c>
      <c r="B125" s="1" t="s">
        <v>8</v>
      </c>
      <c r="C125" s="1" t="s">
        <v>9</v>
      </c>
      <c r="D125">
        <v>520</v>
      </c>
      <c r="E125">
        <v>97</v>
      </c>
      <c r="F125">
        <v>249080</v>
      </c>
      <c r="G125" t="b">
        <v>0</v>
      </c>
    </row>
    <row r="126" spans="1:7" x14ac:dyDescent="0.3">
      <c r="A126" s="1" t="s">
        <v>146</v>
      </c>
      <c r="B126" s="1" t="s">
        <v>16</v>
      </c>
      <c r="C126" s="1" t="s">
        <v>26</v>
      </c>
      <c r="D126">
        <v>556</v>
      </c>
      <c r="E126">
        <v>58</v>
      </c>
      <c r="F126">
        <v>244084</v>
      </c>
      <c r="G126" t="b">
        <v>0</v>
      </c>
    </row>
    <row r="127" spans="1:7" x14ac:dyDescent="0.3">
      <c r="A127" s="1" t="s">
        <v>147</v>
      </c>
      <c r="B127" s="1" t="s">
        <v>16</v>
      </c>
      <c r="C127" s="1" t="s">
        <v>17</v>
      </c>
      <c r="D127">
        <v>802</v>
      </c>
      <c r="E127">
        <v>51</v>
      </c>
      <c r="F127">
        <v>177242</v>
      </c>
      <c r="G127" t="b">
        <v>0</v>
      </c>
    </row>
    <row r="128" spans="1:7" x14ac:dyDescent="0.3">
      <c r="A128" s="1" t="s">
        <v>148</v>
      </c>
      <c r="B128" s="1" t="s">
        <v>46</v>
      </c>
      <c r="C128" s="1" t="s">
        <v>17</v>
      </c>
      <c r="D128">
        <v>89</v>
      </c>
      <c r="E128">
        <v>88</v>
      </c>
      <c r="F128">
        <v>1246</v>
      </c>
      <c r="G128" t="b">
        <v>0</v>
      </c>
    </row>
    <row r="129" spans="1:7" x14ac:dyDescent="0.3">
      <c r="A129" s="1" t="s">
        <v>149</v>
      </c>
      <c r="B129" s="1" t="s">
        <v>8</v>
      </c>
      <c r="C129" s="1" t="s">
        <v>9</v>
      </c>
      <c r="D129">
        <v>486</v>
      </c>
      <c r="E129">
        <v>145</v>
      </c>
      <c r="F129">
        <v>19440</v>
      </c>
      <c r="G129" t="b">
        <v>0</v>
      </c>
    </row>
    <row r="130" spans="1:7" x14ac:dyDescent="0.3">
      <c r="A130" s="1" t="s">
        <v>150</v>
      </c>
      <c r="B130" s="1" t="s">
        <v>14</v>
      </c>
      <c r="C130" s="1" t="s">
        <v>12</v>
      </c>
      <c r="D130">
        <v>954</v>
      </c>
      <c r="E130">
        <v>173</v>
      </c>
      <c r="F130">
        <v>331038</v>
      </c>
      <c r="G130" t="b">
        <v>0</v>
      </c>
    </row>
    <row r="131" spans="1:7" x14ac:dyDescent="0.3">
      <c r="A131" s="1" t="s">
        <v>151</v>
      </c>
      <c r="B131" s="1" t="s">
        <v>16</v>
      </c>
      <c r="C131" s="1" t="s">
        <v>12</v>
      </c>
      <c r="D131">
        <v>26</v>
      </c>
      <c r="E131">
        <v>186</v>
      </c>
      <c r="F131">
        <v>7592</v>
      </c>
      <c r="G131" t="b">
        <v>1</v>
      </c>
    </row>
    <row r="132" spans="1:7" x14ac:dyDescent="0.3">
      <c r="A132" s="1" t="s">
        <v>152</v>
      </c>
      <c r="B132" s="1" t="s">
        <v>16</v>
      </c>
      <c r="C132" s="1" t="s">
        <v>22</v>
      </c>
      <c r="D132">
        <v>37</v>
      </c>
      <c r="E132">
        <v>185</v>
      </c>
      <c r="F132">
        <v>14023</v>
      </c>
      <c r="G132" t="b">
        <v>1</v>
      </c>
    </row>
    <row r="133" spans="1:7" x14ac:dyDescent="0.3">
      <c r="A133" s="1" t="s">
        <v>153</v>
      </c>
      <c r="B133" s="1" t="s">
        <v>8</v>
      </c>
      <c r="C133" s="1" t="s">
        <v>12</v>
      </c>
      <c r="D133">
        <v>313</v>
      </c>
      <c r="E133">
        <v>54</v>
      </c>
      <c r="F133">
        <v>83571</v>
      </c>
      <c r="G133" t="b">
        <v>0</v>
      </c>
    </row>
    <row r="134" spans="1:7" x14ac:dyDescent="0.3">
      <c r="A134" s="1" t="s">
        <v>154</v>
      </c>
      <c r="B134" s="1" t="s">
        <v>30</v>
      </c>
      <c r="C134" s="1" t="s">
        <v>17</v>
      </c>
      <c r="D134">
        <v>129</v>
      </c>
      <c r="E134">
        <v>74</v>
      </c>
      <c r="F134">
        <v>35862</v>
      </c>
      <c r="G134" t="b">
        <v>0</v>
      </c>
    </row>
    <row r="135" spans="1:7" x14ac:dyDescent="0.3">
      <c r="A135" s="1" t="s">
        <v>155</v>
      </c>
      <c r="B135" s="1" t="s">
        <v>46</v>
      </c>
      <c r="C135" s="1" t="s">
        <v>22</v>
      </c>
      <c r="D135">
        <v>216</v>
      </c>
      <c r="E135">
        <v>184</v>
      </c>
      <c r="F135">
        <v>30024</v>
      </c>
      <c r="G135" t="b">
        <v>0</v>
      </c>
    </row>
    <row r="136" spans="1:7" x14ac:dyDescent="0.3">
      <c r="A136" s="1" t="s">
        <v>156</v>
      </c>
      <c r="B136" s="1" t="s">
        <v>19</v>
      </c>
      <c r="C136" s="1" t="s">
        <v>22</v>
      </c>
      <c r="D136">
        <v>834</v>
      </c>
      <c r="E136">
        <v>151</v>
      </c>
      <c r="F136">
        <v>41700</v>
      </c>
      <c r="G136" t="b">
        <v>0</v>
      </c>
    </row>
    <row r="137" spans="1:7" x14ac:dyDescent="0.3">
      <c r="A137" s="1" t="s">
        <v>157</v>
      </c>
      <c r="B137" s="1" t="s">
        <v>28</v>
      </c>
      <c r="C137" s="1" t="s">
        <v>17</v>
      </c>
      <c r="D137">
        <v>490</v>
      </c>
      <c r="E137">
        <v>194</v>
      </c>
      <c r="F137">
        <v>65660</v>
      </c>
      <c r="G137" t="b">
        <v>0</v>
      </c>
    </row>
    <row r="138" spans="1:7" x14ac:dyDescent="0.3">
      <c r="A138" s="1" t="s">
        <v>158</v>
      </c>
      <c r="B138" s="1" t="s">
        <v>19</v>
      </c>
      <c r="C138" s="1" t="s">
        <v>26</v>
      </c>
      <c r="D138">
        <v>720</v>
      </c>
      <c r="E138">
        <v>70</v>
      </c>
      <c r="F138">
        <v>247680</v>
      </c>
      <c r="G138" t="b">
        <v>0</v>
      </c>
    </row>
    <row r="139" spans="1:7" x14ac:dyDescent="0.3">
      <c r="A139" s="1" t="s">
        <v>159</v>
      </c>
      <c r="B139" s="1" t="s">
        <v>24</v>
      </c>
      <c r="C139" s="1" t="s">
        <v>9</v>
      </c>
      <c r="D139">
        <v>435</v>
      </c>
      <c r="E139">
        <v>147</v>
      </c>
      <c r="F139">
        <v>88305</v>
      </c>
      <c r="G139" t="b">
        <v>0</v>
      </c>
    </row>
    <row r="140" spans="1:7" x14ac:dyDescent="0.3">
      <c r="A140" s="1" t="s">
        <v>160</v>
      </c>
      <c r="B140" s="1" t="s">
        <v>33</v>
      </c>
      <c r="C140" s="1" t="s">
        <v>17</v>
      </c>
      <c r="D140">
        <v>77</v>
      </c>
      <c r="E140">
        <v>52</v>
      </c>
      <c r="F140">
        <v>28413</v>
      </c>
      <c r="G140" t="b">
        <v>0</v>
      </c>
    </row>
    <row r="141" spans="1:7" x14ac:dyDescent="0.3">
      <c r="A141" s="1" t="s">
        <v>161</v>
      </c>
      <c r="B141" s="1" t="s">
        <v>24</v>
      </c>
      <c r="C141" s="1" t="s">
        <v>22</v>
      </c>
      <c r="D141">
        <v>531</v>
      </c>
      <c r="E141">
        <v>161</v>
      </c>
      <c r="F141">
        <v>180540</v>
      </c>
      <c r="G141" t="b">
        <v>0</v>
      </c>
    </row>
    <row r="142" spans="1:7" x14ac:dyDescent="0.3">
      <c r="A142" s="1" t="s">
        <v>162</v>
      </c>
      <c r="B142" s="1" t="s">
        <v>14</v>
      </c>
      <c r="C142" s="1" t="s">
        <v>9</v>
      </c>
      <c r="D142">
        <v>898</v>
      </c>
      <c r="E142">
        <v>74</v>
      </c>
      <c r="F142">
        <v>420264</v>
      </c>
      <c r="G142" t="b">
        <v>0</v>
      </c>
    </row>
    <row r="143" spans="1:7" x14ac:dyDescent="0.3">
      <c r="A143" s="1" t="s">
        <v>163</v>
      </c>
      <c r="B143" s="1" t="s">
        <v>16</v>
      </c>
      <c r="C143" s="1" t="s">
        <v>9</v>
      </c>
      <c r="D143">
        <v>255</v>
      </c>
      <c r="E143">
        <v>104</v>
      </c>
      <c r="F143">
        <v>120105</v>
      </c>
      <c r="G143" t="b">
        <v>0</v>
      </c>
    </row>
    <row r="144" spans="1:7" x14ac:dyDescent="0.3">
      <c r="A144" s="1" t="s">
        <v>164</v>
      </c>
      <c r="B144" s="1" t="s">
        <v>33</v>
      </c>
      <c r="C144" s="1" t="s">
        <v>26</v>
      </c>
      <c r="D144">
        <v>297</v>
      </c>
      <c r="E144">
        <v>61</v>
      </c>
      <c r="F144">
        <v>143451</v>
      </c>
      <c r="G144" t="b">
        <v>0</v>
      </c>
    </row>
    <row r="145" spans="1:7" x14ac:dyDescent="0.3">
      <c r="A145" s="1" t="s">
        <v>165</v>
      </c>
      <c r="B145" s="1" t="s">
        <v>19</v>
      </c>
      <c r="C145" s="1" t="s">
        <v>26</v>
      </c>
      <c r="D145">
        <v>940</v>
      </c>
      <c r="E145">
        <v>189</v>
      </c>
      <c r="F145">
        <v>280120</v>
      </c>
      <c r="G145" t="b">
        <v>0</v>
      </c>
    </row>
    <row r="146" spans="1:7" x14ac:dyDescent="0.3">
      <c r="A146" s="1" t="s">
        <v>166</v>
      </c>
      <c r="B146" s="1" t="s">
        <v>30</v>
      </c>
      <c r="C146" s="1" t="s">
        <v>17</v>
      </c>
      <c r="D146">
        <v>971</v>
      </c>
      <c r="E146">
        <v>130</v>
      </c>
      <c r="F146">
        <v>17478</v>
      </c>
      <c r="G146" t="b">
        <v>0</v>
      </c>
    </row>
    <row r="147" spans="1:7" x14ac:dyDescent="0.3">
      <c r="A147" s="1" t="s">
        <v>167</v>
      </c>
      <c r="B147" s="1" t="s">
        <v>14</v>
      </c>
      <c r="C147" s="1" t="s">
        <v>26</v>
      </c>
      <c r="D147">
        <v>167</v>
      </c>
      <c r="E147">
        <v>151</v>
      </c>
      <c r="F147">
        <v>80995</v>
      </c>
      <c r="G147" t="b">
        <v>0</v>
      </c>
    </row>
    <row r="148" spans="1:7" x14ac:dyDescent="0.3">
      <c r="A148" s="1" t="s">
        <v>168</v>
      </c>
      <c r="B148" s="1" t="s">
        <v>19</v>
      </c>
      <c r="C148" s="1" t="s">
        <v>9</v>
      </c>
      <c r="D148">
        <v>186</v>
      </c>
      <c r="E148">
        <v>194</v>
      </c>
      <c r="F148">
        <v>24738</v>
      </c>
      <c r="G148" t="b">
        <v>1</v>
      </c>
    </row>
    <row r="149" spans="1:7" x14ac:dyDescent="0.3">
      <c r="A149" s="1" t="s">
        <v>169</v>
      </c>
      <c r="B149" s="1" t="s">
        <v>28</v>
      </c>
      <c r="C149" s="1" t="s">
        <v>12</v>
      </c>
      <c r="D149">
        <v>713</v>
      </c>
      <c r="E149">
        <v>188</v>
      </c>
      <c r="F149">
        <v>127627</v>
      </c>
      <c r="G149" t="b">
        <v>0</v>
      </c>
    </row>
    <row r="150" spans="1:7" x14ac:dyDescent="0.3">
      <c r="A150" s="1" t="s">
        <v>170</v>
      </c>
      <c r="B150" s="1" t="s">
        <v>30</v>
      </c>
      <c r="C150" s="1" t="s">
        <v>22</v>
      </c>
      <c r="D150">
        <v>829</v>
      </c>
      <c r="E150">
        <v>70</v>
      </c>
      <c r="F150">
        <v>220514</v>
      </c>
      <c r="G150" t="b">
        <v>0</v>
      </c>
    </row>
    <row r="151" spans="1:7" x14ac:dyDescent="0.3">
      <c r="A151" s="1" t="s">
        <v>171</v>
      </c>
      <c r="B151" s="1" t="s">
        <v>16</v>
      </c>
      <c r="C151" s="1" t="s">
        <v>26</v>
      </c>
      <c r="D151">
        <v>120</v>
      </c>
      <c r="E151">
        <v>161</v>
      </c>
      <c r="F151">
        <v>15360</v>
      </c>
      <c r="G151" t="b">
        <v>1</v>
      </c>
    </row>
    <row r="152" spans="1:7" x14ac:dyDescent="0.3">
      <c r="A152" s="1" t="s">
        <v>172</v>
      </c>
      <c r="B152" s="1" t="s">
        <v>11</v>
      </c>
      <c r="C152" s="1" t="s">
        <v>22</v>
      </c>
      <c r="D152">
        <v>639</v>
      </c>
      <c r="E152">
        <v>151</v>
      </c>
      <c r="F152">
        <v>259434</v>
      </c>
      <c r="G152" t="b">
        <v>0</v>
      </c>
    </row>
    <row r="153" spans="1:7" x14ac:dyDescent="0.3">
      <c r="A153" s="1" t="s">
        <v>173</v>
      </c>
      <c r="B153" s="1" t="s">
        <v>16</v>
      </c>
      <c r="C153" s="1" t="s">
        <v>12</v>
      </c>
      <c r="D153">
        <v>669</v>
      </c>
      <c r="E153">
        <v>119</v>
      </c>
      <c r="F153">
        <v>274959</v>
      </c>
      <c r="G153" t="b">
        <v>0</v>
      </c>
    </row>
    <row r="154" spans="1:7" x14ac:dyDescent="0.3">
      <c r="A154" s="1" t="s">
        <v>174</v>
      </c>
      <c r="B154" s="1" t="s">
        <v>33</v>
      </c>
      <c r="C154" s="1" t="s">
        <v>12</v>
      </c>
      <c r="D154">
        <v>253</v>
      </c>
      <c r="E154">
        <v>141</v>
      </c>
      <c r="F154">
        <v>74129</v>
      </c>
      <c r="G154" t="b">
        <v>0</v>
      </c>
    </row>
    <row r="155" spans="1:7" x14ac:dyDescent="0.3">
      <c r="A155" s="1" t="s">
        <v>175</v>
      </c>
      <c r="B155" s="1" t="s">
        <v>28</v>
      </c>
      <c r="C155" s="1" t="s">
        <v>12</v>
      </c>
      <c r="D155">
        <v>210</v>
      </c>
      <c r="E155">
        <v>199</v>
      </c>
      <c r="F155">
        <v>73080</v>
      </c>
      <c r="G155" t="b">
        <v>0</v>
      </c>
    </row>
    <row r="156" spans="1:7" x14ac:dyDescent="0.3">
      <c r="A156" s="1" t="s">
        <v>176</v>
      </c>
      <c r="B156" s="1" t="s">
        <v>24</v>
      </c>
      <c r="C156" s="1" t="s">
        <v>17</v>
      </c>
      <c r="D156">
        <v>810</v>
      </c>
      <c r="E156">
        <v>125</v>
      </c>
      <c r="F156">
        <v>338580</v>
      </c>
      <c r="G156" t="b">
        <v>0</v>
      </c>
    </row>
    <row r="157" spans="1:7" x14ac:dyDescent="0.3">
      <c r="A157" s="1" t="s">
        <v>177</v>
      </c>
      <c r="B157" s="1" t="s">
        <v>24</v>
      </c>
      <c r="C157" s="1" t="s">
        <v>12</v>
      </c>
      <c r="D157">
        <v>104</v>
      </c>
      <c r="E157">
        <v>118</v>
      </c>
      <c r="F157">
        <v>9152</v>
      </c>
      <c r="G157" t="b">
        <v>1</v>
      </c>
    </row>
    <row r="158" spans="1:7" x14ac:dyDescent="0.3">
      <c r="A158" s="1" t="s">
        <v>178</v>
      </c>
      <c r="B158" s="1" t="s">
        <v>30</v>
      </c>
      <c r="C158" s="1" t="s">
        <v>22</v>
      </c>
      <c r="D158">
        <v>777</v>
      </c>
      <c r="E158">
        <v>149</v>
      </c>
      <c r="F158">
        <v>133644</v>
      </c>
      <c r="G158" t="b">
        <v>0</v>
      </c>
    </row>
    <row r="159" spans="1:7" x14ac:dyDescent="0.3">
      <c r="A159" s="1" t="s">
        <v>179</v>
      </c>
      <c r="B159" s="1" t="s">
        <v>24</v>
      </c>
      <c r="C159" s="1" t="s">
        <v>22</v>
      </c>
      <c r="D159">
        <v>113</v>
      </c>
      <c r="E159">
        <v>51</v>
      </c>
      <c r="F159">
        <v>55596</v>
      </c>
      <c r="G159" t="b">
        <v>0</v>
      </c>
    </row>
    <row r="160" spans="1:7" x14ac:dyDescent="0.3">
      <c r="A160" s="1" t="s">
        <v>180</v>
      </c>
      <c r="B160" s="1" t="s">
        <v>33</v>
      </c>
      <c r="C160" s="1" t="s">
        <v>17</v>
      </c>
      <c r="D160">
        <v>388</v>
      </c>
      <c r="E160">
        <v>119</v>
      </c>
      <c r="F160">
        <v>24056</v>
      </c>
      <c r="G160" t="b">
        <v>0</v>
      </c>
    </row>
    <row r="161" spans="1:7" x14ac:dyDescent="0.3">
      <c r="A161" s="1" t="s">
        <v>181</v>
      </c>
      <c r="B161" s="1" t="s">
        <v>24</v>
      </c>
      <c r="C161" s="1" t="s">
        <v>9</v>
      </c>
      <c r="D161">
        <v>211</v>
      </c>
      <c r="E161">
        <v>160</v>
      </c>
      <c r="F161">
        <v>50429</v>
      </c>
      <c r="G161" t="b">
        <v>0</v>
      </c>
    </row>
    <row r="162" spans="1:7" x14ac:dyDescent="0.3">
      <c r="A162" s="1" t="s">
        <v>182</v>
      </c>
      <c r="B162" s="1" t="s">
        <v>8</v>
      </c>
      <c r="C162" s="1" t="s">
        <v>26</v>
      </c>
      <c r="D162">
        <v>544</v>
      </c>
      <c r="E162">
        <v>154</v>
      </c>
      <c r="F162">
        <v>33728</v>
      </c>
      <c r="G162" t="b">
        <v>0</v>
      </c>
    </row>
    <row r="163" spans="1:7" x14ac:dyDescent="0.3">
      <c r="A163" s="1" t="s">
        <v>183</v>
      </c>
      <c r="B163" s="1" t="s">
        <v>24</v>
      </c>
      <c r="C163" s="1" t="s">
        <v>9</v>
      </c>
      <c r="D163">
        <v>382</v>
      </c>
      <c r="E163">
        <v>191</v>
      </c>
      <c r="F163">
        <v>21774</v>
      </c>
      <c r="G163" t="b">
        <v>0</v>
      </c>
    </row>
    <row r="164" spans="1:7" x14ac:dyDescent="0.3">
      <c r="A164" s="1" t="s">
        <v>184</v>
      </c>
      <c r="B164" s="1" t="s">
        <v>14</v>
      </c>
      <c r="C164" s="1" t="s">
        <v>12</v>
      </c>
      <c r="D164">
        <v>823</v>
      </c>
      <c r="E164">
        <v>133</v>
      </c>
      <c r="F164">
        <v>371996</v>
      </c>
      <c r="G164" t="b">
        <v>0</v>
      </c>
    </row>
    <row r="165" spans="1:7" x14ac:dyDescent="0.3">
      <c r="A165" s="1" t="s">
        <v>185</v>
      </c>
      <c r="B165" s="1" t="s">
        <v>16</v>
      </c>
      <c r="C165" s="1" t="s">
        <v>26</v>
      </c>
      <c r="D165">
        <v>318</v>
      </c>
      <c r="E165">
        <v>155</v>
      </c>
      <c r="F165">
        <v>66144</v>
      </c>
      <c r="G165" t="b">
        <v>0</v>
      </c>
    </row>
    <row r="166" spans="1:7" x14ac:dyDescent="0.3">
      <c r="A166" s="1" t="s">
        <v>186</v>
      </c>
      <c r="B166" s="1" t="s">
        <v>8</v>
      </c>
      <c r="C166" s="1" t="s">
        <v>9</v>
      </c>
      <c r="D166">
        <v>946</v>
      </c>
      <c r="E166">
        <v>112</v>
      </c>
      <c r="F166">
        <v>285692</v>
      </c>
      <c r="G166" t="b">
        <v>0</v>
      </c>
    </row>
    <row r="167" spans="1:7" x14ac:dyDescent="0.3">
      <c r="A167" s="1" t="s">
        <v>187</v>
      </c>
      <c r="B167" s="1" t="s">
        <v>30</v>
      </c>
      <c r="C167" s="1" t="s">
        <v>17</v>
      </c>
      <c r="D167">
        <v>721</v>
      </c>
      <c r="E167">
        <v>147</v>
      </c>
      <c r="F167">
        <v>69216</v>
      </c>
      <c r="G167" t="b">
        <v>0</v>
      </c>
    </row>
    <row r="168" spans="1:7" x14ac:dyDescent="0.3">
      <c r="A168" s="1" t="s">
        <v>188</v>
      </c>
      <c r="B168" s="1" t="s">
        <v>19</v>
      </c>
      <c r="C168" s="1" t="s">
        <v>17</v>
      </c>
      <c r="D168">
        <v>328</v>
      </c>
      <c r="E168">
        <v>118</v>
      </c>
      <c r="F168">
        <v>85936</v>
      </c>
      <c r="G168" t="b">
        <v>0</v>
      </c>
    </row>
    <row r="169" spans="1:7" x14ac:dyDescent="0.3">
      <c r="A169" s="1" t="s">
        <v>189</v>
      </c>
      <c r="B169" s="1" t="s">
        <v>24</v>
      </c>
      <c r="C169" s="1" t="s">
        <v>12</v>
      </c>
      <c r="D169">
        <v>191</v>
      </c>
      <c r="E169">
        <v>161</v>
      </c>
      <c r="F169">
        <v>28841</v>
      </c>
      <c r="G169" t="b">
        <v>0</v>
      </c>
    </row>
    <row r="170" spans="1:7" x14ac:dyDescent="0.3">
      <c r="A170" s="1" t="s">
        <v>190</v>
      </c>
      <c r="B170" s="1" t="s">
        <v>19</v>
      </c>
      <c r="C170" s="1" t="s">
        <v>22</v>
      </c>
      <c r="D170">
        <v>515</v>
      </c>
      <c r="E170">
        <v>69</v>
      </c>
      <c r="F170">
        <v>99910</v>
      </c>
      <c r="G170" t="b">
        <v>0</v>
      </c>
    </row>
    <row r="171" spans="1:7" x14ac:dyDescent="0.3">
      <c r="A171" s="1" t="s">
        <v>191</v>
      </c>
      <c r="B171" s="1" t="s">
        <v>46</v>
      </c>
      <c r="C171" s="1" t="s">
        <v>9</v>
      </c>
      <c r="D171">
        <v>758</v>
      </c>
      <c r="E171">
        <v>176</v>
      </c>
      <c r="F171">
        <v>238012</v>
      </c>
      <c r="G171" t="b">
        <v>0</v>
      </c>
    </row>
    <row r="172" spans="1:7" x14ac:dyDescent="0.3">
      <c r="A172" s="1" t="s">
        <v>192</v>
      </c>
      <c r="B172" s="1" t="s">
        <v>46</v>
      </c>
      <c r="C172" s="1" t="s">
        <v>22</v>
      </c>
      <c r="D172">
        <v>488</v>
      </c>
      <c r="E172">
        <v>77</v>
      </c>
      <c r="F172">
        <v>38552</v>
      </c>
      <c r="G172" t="b">
        <v>0</v>
      </c>
    </row>
    <row r="173" spans="1:7" x14ac:dyDescent="0.3">
      <c r="A173" s="1" t="s">
        <v>193</v>
      </c>
      <c r="B173" s="1" t="s">
        <v>16</v>
      </c>
      <c r="C173" s="1" t="s">
        <v>9</v>
      </c>
      <c r="D173">
        <v>991</v>
      </c>
      <c r="E173">
        <v>151</v>
      </c>
      <c r="F173">
        <v>178380</v>
      </c>
      <c r="G173" t="b">
        <v>0</v>
      </c>
    </row>
    <row r="174" spans="1:7" x14ac:dyDescent="0.3">
      <c r="A174" s="1" t="s">
        <v>194</v>
      </c>
      <c r="B174" s="1" t="s">
        <v>28</v>
      </c>
      <c r="C174" s="1" t="s">
        <v>22</v>
      </c>
      <c r="D174">
        <v>843</v>
      </c>
      <c r="E174">
        <v>134</v>
      </c>
      <c r="F174">
        <v>198105</v>
      </c>
      <c r="G174" t="b">
        <v>0</v>
      </c>
    </row>
    <row r="175" spans="1:7" x14ac:dyDescent="0.3">
      <c r="A175" s="1" t="s">
        <v>195</v>
      </c>
      <c r="B175" s="1" t="s">
        <v>28</v>
      </c>
      <c r="C175" s="1" t="s">
        <v>22</v>
      </c>
      <c r="D175">
        <v>855</v>
      </c>
      <c r="E175">
        <v>84</v>
      </c>
      <c r="F175">
        <v>139365</v>
      </c>
      <c r="G175" t="b">
        <v>0</v>
      </c>
    </row>
    <row r="176" spans="1:7" x14ac:dyDescent="0.3">
      <c r="A176" s="1" t="s">
        <v>196</v>
      </c>
      <c r="B176" s="1" t="s">
        <v>14</v>
      </c>
      <c r="C176" s="1" t="s">
        <v>22</v>
      </c>
      <c r="D176">
        <v>990</v>
      </c>
      <c r="E176">
        <v>101</v>
      </c>
      <c r="F176">
        <v>252450</v>
      </c>
      <c r="G176" t="b">
        <v>0</v>
      </c>
    </row>
    <row r="177" spans="1:7" x14ac:dyDescent="0.3">
      <c r="A177" s="1" t="s">
        <v>197</v>
      </c>
      <c r="B177" s="1" t="s">
        <v>30</v>
      </c>
      <c r="C177" s="1" t="s">
        <v>12</v>
      </c>
      <c r="D177">
        <v>427</v>
      </c>
      <c r="E177">
        <v>131</v>
      </c>
      <c r="F177">
        <v>67893</v>
      </c>
      <c r="G177" t="b">
        <v>0</v>
      </c>
    </row>
    <row r="178" spans="1:7" x14ac:dyDescent="0.3">
      <c r="A178" s="1" t="s">
        <v>198</v>
      </c>
      <c r="B178" s="1" t="s">
        <v>14</v>
      </c>
      <c r="C178" s="1" t="s">
        <v>12</v>
      </c>
      <c r="D178">
        <v>820</v>
      </c>
      <c r="E178">
        <v>112</v>
      </c>
      <c r="F178">
        <v>144320</v>
      </c>
      <c r="G178" t="b">
        <v>0</v>
      </c>
    </row>
    <row r="179" spans="1:7" x14ac:dyDescent="0.3">
      <c r="A179" s="1" t="s">
        <v>199</v>
      </c>
      <c r="B179" s="1" t="s">
        <v>19</v>
      </c>
      <c r="C179" s="1" t="s">
        <v>26</v>
      </c>
      <c r="D179">
        <v>856</v>
      </c>
      <c r="E179">
        <v>150</v>
      </c>
      <c r="F179">
        <v>167776</v>
      </c>
      <c r="G179" t="b">
        <v>0</v>
      </c>
    </row>
    <row r="180" spans="1:7" x14ac:dyDescent="0.3">
      <c r="A180" s="1" t="s">
        <v>200</v>
      </c>
      <c r="B180" s="1" t="s">
        <v>14</v>
      </c>
      <c r="C180" s="1" t="s">
        <v>9</v>
      </c>
      <c r="D180">
        <v>224</v>
      </c>
      <c r="E180">
        <v>189</v>
      </c>
      <c r="F180">
        <v>22848</v>
      </c>
      <c r="G180" t="b">
        <v>0</v>
      </c>
    </row>
    <row r="181" spans="1:7" x14ac:dyDescent="0.3">
      <c r="A181" s="1" t="s">
        <v>201</v>
      </c>
      <c r="B181" s="1" t="s">
        <v>16</v>
      </c>
      <c r="C181" s="1" t="s">
        <v>17</v>
      </c>
      <c r="D181">
        <v>995</v>
      </c>
      <c r="E181">
        <v>168</v>
      </c>
      <c r="F181">
        <v>489540</v>
      </c>
      <c r="G181" t="b">
        <v>0</v>
      </c>
    </row>
    <row r="182" spans="1:7" x14ac:dyDescent="0.3">
      <c r="A182" s="1" t="s">
        <v>202</v>
      </c>
      <c r="B182" s="1" t="s">
        <v>33</v>
      </c>
      <c r="C182" s="1" t="s">
        <v>26</v>
      </c>
      <c r="D182">
        <v>836</v>
      </c>
      <c r="E182">
        <v>124</v>
      </c>
      <c r="F182">
        <v>363660</v>
      </c>
      <c r="G182" t="b">
        <v>0</v>
      </c>
    </row>
    <row r="183" spans="1:7" x14ac:dyDescent="0.3">
      <c r="A183" s="1" t="s">
        <v>203</v>
      </c>
      <c r="B183" s="1" t="s">
        <v>28</v>
      </c>
      <c r="C183" s="1" t="s">
        <v>22</v>
      </c>
      <c r="D183">
        <v>709</v>
      </c>
      <c r="E183">
        <v>177</v>
      </c>
      <c r="F183">
        <v>57429</v>
      </c>
      <c r="G183" t="b">
        <v>0</v>
      </c>
    </row>
    <row r="184" spans="1:7" x14ac:dyDescent="0.3">
      <c r="A184" s="1" t="s">
        <v>204</v>
      </c>
      <c r="B184" s="1" t="s">
        <v>46</v>
      </c>
      <c r="C184" s="1" t="s">
        <v>12</v>
      </c>
      <c r="D184">
        <v>278</v>
      </c>
      <c r="E184">
        <v>89</v>
      </c>
      <c r="F184">
        <v>104528</v>
      </c>
      <c r="G184" t="b">
        <v>0</v>
      </c>
    </row>
    <row r="185" spans="1:7" x14ac:dyDescent="0.3">
      <c r="A185" s="1" t="s">
        <v>205</v>
      </c>
      <c r="B185" s="1" t="s">
        <v>28</v>
      </c>
      <c r="C185" s="1" t="s">
        <v>12</v>
      </c>
      <c r="D185">
        <v>95</v>
      </c>
      <c r="E185">
        <v>164</v>
      </c>
      <c r="F185">
        <v>30020</v>
      </c>
      <c r="G185" t="b">
        <v>1</v>
      </c>
    </row>
    <row r="186" spans="1:7" x14ac:dyDescent="0.3">
      <c r="A186" s="1" t="s">
        <v>206</v>
      </c>
      <c r="B186" s="1" t="s">
        <v>14</v>
      </c>
      <c r="C186" s="1" t="s">
        <v>12</v>
      </c>
      <c r="D186">
        <v>430</v>
      </c>
      <c r="E186">
        <v>186</v>
      </c>
      <c r="F186">
        <v>115670</v>
      </c>
      <c r="G186" t="b">
        <v>0</v>
      </c>
    </row>
    <row r="187" spans="1:7" x14ac:dyDescent="0.3">
      <c r="A187" s="1" t="s">
        <v>207</v>
      </c>
      <c r="B187" s="1" t="s">
        <v>8</v>
      </c>
      <c r="C187" s="1" t="s">
        <v>9</v>
      </c>
      <c r="D187">
        <v>57</v>
      </c>
      <c r="E187">
        <v>142</v>
      </c>
      <c r="F187">
        <v>21033</v>
      </c>
      <c r="G187" t="b">
        <v>1</v>
      </c>
    </row>
    <row r="188" spans="1:7" x14ac:dyDescent="0.3">
      <c r="A188" s="1" t="s">
        <v>208</v>
      </c>
      <c r="B188" s="1" t="s">
        <v>14</v>
      </c>
      <c r="C188" s="1" t="s">
        <v>17</v>
      </c>
      <c r="D188">
        <v>673</v>
      </c>
      <c r="E188">
        <v>71</v>
      </c>
      <c r="F188">
        <v>43745</v>
      </c>
      <c r="G188" t="b">
        <v>0</v>
      </c>
    </row>
    <row r="189" spans="1:7" x14ac:dyDescent="0.3">
      <c r="A189" s="1" t="s">
        <v>209</v>
      </c>
      <c r="B189" s="1" t="s">
        <v>11</v>
      </c>
      <c r="C189" s="1" t="s">
        <v>12</v>
      </c>
      <c r="D189">
        <v>190</v>
      </c>
      <c r="E189">
        <v>61</v>
      </c>
      <c r="F189">
        <v>56620</v>
      </c>
      <c r="G189" t="b">
        <v>0</v>
      </c>
    </row>
    <row r="190" spans="1:7" x14ac:dyDescent="0.3">
      <c r="A190" s="1" t="s">
        <v>210</v>
      </c>
      <c r="B190" s="1" t="s">
        <v>11</v>
      </c>
      <c r="C190" s="1" t="s">
        <v>26</v>
      </c>
      <c r="D190">
        <v>835</v>
      </c>
      <c r="E190">
        <v>160</v>
      </c>
      <c r="F190">
        <v>53440</v>
      </c>
      <c r="G190" t="b">
        <v>0</v>
      </c>
    </row>
    <row r="191" spans="1:7" x14ac:dyDescent="0.3">
      <c r="A191" s="1" t="s">
        <v>211</v>
      </c>
      <c r="B191" s="1" t="s">
        <v>24</v>
      </c>
      <c r="C191" s="1" t="s">
        <v>9</v>
      </c>
      <c r="D191">
        <v>284</v>
      </c>
      <c r="E191">
        <v>106</v>
      </c>
      <c r="F191">
        <v>76964</v>
      </c>
      <c r="G191" t="b">
        <v>0</v>
      </c>
    </row>
    <row r="192" spans="1:7" x14ac:dyDescent="0.3">
      <c r="A192" s="1" t="s">
        <v>212</v>
      </c>
      <c r="B192" s="1" t="s">
        <v>8</v>
      </c>
      <c r="C192" s="1" t="s">
        <v>12</v>
      </c>
      <c r="D192">
        <v>614</v>
      </c>
      <c r="E192">
        <v>197</v>
      </c>
      <c r="F192">
        <v>75522</v>
      </c>
      <c r="G192" t="b">
        <v>0</v>
      </c>
    </row>
    <row r="193" spans="1:7" x14ac:dyDescent="0.3">
      <c r="A193" s="1" t="s">
        <v>213</v>
      </c>
      <c r="B193" s="1" t="s">
        <v>11</v>
      </c>
      <c r="C193" s="1" t="s">
        <v>9</v>
      </c>
      <c r="D193">
        <v>420</v>
      </c>
      <c r="E193">
        <v>168</v>
      </c>
      <c r="F193">
        <v>170100</v>
      </c>
      <c r="G193" t="b">
        <v>0</v>
      </c>
    </row>
    <row r="194" spans="1:7" x14ac:dyDescent="0.3">
      <c r="A194" s="1" t="s">
        <v>214</v>
      </c>
      <c r="B194" s="1" t="s">
        <v>8</v>
      </c>
      <c r="C194" s="1" t="s">
        <v>12</v>
      </c>
      <c r="D194">
        <v>174</v>
      </c>
      <c r="E194">
        <v>138</v>
      </c>
      <c r="F194">
        <v>3828</v>
      </c>
      <c r="G194" t="b">
        <v>0</v>
      </c>
    </row>
    <row r="195" spans="1:7" x14ac:dyDescent="0.3">
      <c r="A195" s="1" t="s">
        <v>215</v>
      </c>
      <c r="B195" s="1" t="s">
        <v>24</v>
      </c>
      <c r="C195" s="1" t="s">
        <v>26</v>
      </c>
      <c r="D195">
        <v>322</v>
      </c>
      <c r="E195">
        <v>156</v>
      </c>
      <c r="F195">
        <v>154882</v>
      </c>
      <c r="G195" t="b">
        <v>0</v>
      </c>
    </row>
    <row r="196" spans="1:7" x14ac:dyDescent="0.3">
      <c r="A196" s="1" t="s">
        <v>216</v>
      </c>
      <c r="B196" s="1" t="s">
        <v>24</v>
      </c>
      <c r="C196" s="1" t="s">
        <v>22</v>
      </c>
      <c r="D196">
        <v>871</v>
      </c>
      <c r="E196">
        <v>86</v>
      </c>
      <c r="F196">
        <v>163748</v>
      </c>
      <c r="G196" t="b">
        <v>0</v>
      </c>
    </row>
    <row r="197" spans="1:7" x14ac:dyDescent="0.3">
      <c r="A197" s="1" t="s">
        <v>217</v>
      </c>
      <c r="B197" s="1" t="s">
        <v>11</v>
      </c>
      <c r="C197" s="1" t="s">
        <v>12</v>
      </c>
      <c r="D197">
        <v>486</v>
      </c>
      <c r="E197">
        <v>102</v>
      </c>
      <c r="F197">
        <v>134136</v>
      </c>
      <c r="G197" t="b">
        <v>0</v>
      </c>
    </row>
    <row r="198" spans="1:7" x14ac:dyDescent="0.3">
      <c r="A198" s="1" t="s">
        <v>218</v>
      </c>
      <c r="B198" s="1" t="s">
        <v>11</v>
      </c>
      <c r="C198" s="1" t="s">
        <v>12</v>
      </c>
      <c r="D198">
        <v>507</v>
      </c>
      <c r="E198">
        <v>74</v>
      </c>
      <c r="F198">
        <v>118638</v>
      </c>
      <c r="G198" t="b">
        <v>0</v>
      </c>
    </row>
    <row r="199" spans="1:7" x14ac:dyDescent="0.3">
      <c r="A199" s="1" t="s">
        <v>219</v>
      </c>
      <c r="B199" s="1" t="s">
        <v>11</v>
      </c>
      <c r="C199" s="1" t="s">
        <v>26</v>
      </c>
      <c r="D199">
        <v>88</v>
      </c>
      <c r="E199">
        <v>126</v>
      </c>
      <c r="F199">
        <v>2816</v>
      </c>
      <c r="G199" t="b">
        <v>1</v>
      </c>
    </row>
    <row r="200" spans="1:7" x14ac:dyDescent="0.3">
      <c r="A200" s="1" t="s">
        <v>220</v>
      </c>
      <c r="B200" s="1" t="s">
        <v>16</v>
      </c>
      <c r="C200" s="1" t="s">
        <v>26</v>
      </c>
      <c r="D200">
        <v>889</v>
      </c>
      <c r="E200">
        <v>137</v>
      </c>
      <c r="F200">
        <v>303149</v>
      </c>
      <c r="G200" t="b">
        <v>0</v>
      </c>
    </row>
    <row r="201" spans="1:7" x14ac:dyDescent="0.3">
      <c r="A201" s="1" t="s">
        <v>221</v>
      </c>
      <c r="B201" s="1" t="s">
        <v>30</v>
      </c>
      <c r="C201" s="1" t="s">
        <v>17</v>
      </c>
      <c r="D201">
        <v>972</v>
      </c>
      <c r="E201">
        <v>112</v>
      </c>
      <c r="F201">
        <v>266328</v>
      </c>
      <c r="G201" t="b">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BFB987-0C81-4C10-A7BA-CA8EF40DEA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 Dashboard</vt:lpstr>
      <vt:lpstr>🏭 Supplier Detail</vt:lpstr>
      <vt:lpstr>Charts</vt:lpstr>
      <vt:lpstr>Analytics</vt:lpstr>
      <vt:lpstr>KPIs</vt:lpstr>
      <vt:lpstr>clean_shipments</vt:lpstr>
      <vt:lpstr>Merge1</vt:lpstr>
      <vt:lpstr>PurchaseOrders</vt:lpstr>
      <vt:lpstr>clean_suppliers</vt:lpstr>
      <vt:lpstr>clean_purchase_orders</vt:lpstr>
      <vt:lpstr>clean_invoices</vt:lpstr>
      <vt:lpstr>clean_inventory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 Bharti</dc:creator>
  <cp:lastModifiedBy>Madhu Bharti</cp:lastModifiedBy>
  <dcterms:created xsi:type="dcterms:W3CDTF">2026-07-03T05:26:23Z</dcterms:created>
  <dcterms:modified xsi:type="dcterms:W3CDTF">2026-07-03T07:46:18Z</dcterms:modified>
</cp:coreProperties>
</file>